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Peepem/Desktop/01_Inmuebles_Resort/"/>
    </mc:Choice>
  </mc:AlternateContent>
  <xr:revisionPtr revIDLastSave="0" documentId="13_ncr:1_{1BA78D12-E56B-E942-82FC-4C33E9158872}" xr6:coauthVersionLast="47" xr6:coauthVersionMax="47" xr10:uidLastSave="{00000000-0000-0000-0000-000000000000}"/>
  <bookViews>
    <workbookView xWindow="0" yWindow="600" windowWidth="28800" windowHeight="17400" activeTab="5" xr2:uid="{A24424EB-ED75-1248-AF98-53031DCD705B}"/>
  </bookViews>
  <sheets>
    <sheet name="INCOME" sheetId="2" r:id="rId1"/>
    <sheet name="EXPENSES" sheetId="1" r:id="rId2"/>
    <sheet name="Reference_Nights" sheetId="8" r:id="rId3"/>
    <sheet name="Data_Consolidado" sheetId="6" r:id="rId4"/>
    <sheet name="Analysis - Pivots" sheetId="5" r:id="rId5"/>
    <sheet name="Analysis - Dashboard" sheetId="13" r:id="rId6"/>
  </sheets>
  <definedNames>
    <definedName name="_xlnm._FilterDatabase" localSheetId="3" hidden="1">Data_Consolidado!$A$1:$K$72</definedName>
    <definedName name="_xlnm._FilterDatabase" localSheetId="1" hidden="1">EXPENSES!$A$1:$F$1561</definedName>
    <definedName name="_xlnm._FilterDatabase" localSheetId="0" hidden="1">INCOME!$A$1:$I$1</definedName>
    <definedName name="Data_Consolidado">Table2[#All]</definedName>
    <definedName name="_xlnm.Print_Area" localSheetId="5">'Analysis - Dashboard'!$B$1:$Y$61</definedName>
    <definedName name="Slicer_Apt">#N/A</definedName>
  </definedNames>
  <calcPr calcId="191029"/>
  <pivotCaches>
    <pivotCache cacheId="5" r:id="rId7"/>
    <pivotCache cacheId="6" r:id="rId8"/>
    <pivotCache cacheId="7"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6" l="1"/>
  <c r="F17" i="6" s="1"/>
  <c r="D17" i="6"/>
  <c r="N17" i="6" s="1"/>
  <c r="L17" i="6"/>
  <c r="C14" i="6"/>
  <c r="F14" i="6" s="1"/>
  <c r="D14" i="6"/>
  <c r="N14" i="6" s="1"/>
  <c r="L14" i="6"/>
  <c r="L2" i="6"/>
  <c r="M2" i="6" s="1"/>
  <c r="L3" i="6"/>
  <c r="M3" i="6" s="1"/>
  <c r="L4" i="6"/>
  <c r="M4" i="6" s="1"/>
  <c r="L5" i="6"/>
  <c r="M5" i="6" s="1"/>
  <c r="D2" i="6"/>
  <c r="N2" i="6" s="1"/>
  <c r="D3" i="6"/>
  <c r="N3" i="6" s="1"/>
  <c r="D4" i="6"/>
  <c r="N4" i="6" s="1"/>
  <c r="D5" i="6"/>
  <c r="N5" i="6" s="1"/>
  <c r="C2" i="6"/>
  <c r="K2" i="6" s="1"/>
  <c r="C3" i="6"/>
  <c r="K3" i="6" s="1"/>
  <c r="C4" i="6"/>
  <c r="K4" i="6" s="1"/>
  <c r="C5" i="6"/>
  <c r="K5" i="6"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2" i="1"/>
  <c r="D68" i="6"/>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E688" i="2"/>
  <c r="F839" i="1"/>
  <c r="F875" i="1"/>
  <c r="F918" i="1"/>
  <c r="F961" i="1"/>
  <c r="F999" i="1"/>
  <c r="F1019" i="1"/>
  <c r="F1045" i="1"/>
  <c r="F1068" i="1"/>
  <c r="F1090" i="1"/>
  <c r="F1121" i="1"/>
  <c r="F1153" i="1"/>
  <c r="F1174" i="1"/>
  <c r="F1202" i="1"/>
  <c r="F1255" i="1"/>
  <c r="F1282" i="1"/>
  <c r="F1309" i="1"/>
  <c r="F1328" i="1"/>
  <c r="F1355" i="1"/>
  <c r="F1369" i="1"/>
  <c r="F608" i="1"/>
  <c r="F666" i="1"/>
  <c r="F688" i="1"/>
  <c r="F704" i="1"/>
  <c r="F725" i="1"/>
  <c r="F747" i="1"/>
  <c r="F766" i="1"/>
  <c r="F800" i="1"/>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C139" i="8"/>
  <c r="C140" i="8"/>
  <c r="C141" i="8"/>
  <c r="C142" i="8"/>
  <c r="C143" i="8"/>
  <c r="C144" i="8"/>
  <c r="C145" i="8"/>
  <c r="C146" i="8"/>
  <c r="C147" i="8"/>
  <c r="C148" i="8"/>
  <c r="C149" i="8"/>
  <c r="C150" i="8"/>
  <c r="C151" i="8"/>
  <c r="C152" i="8"/>
  <c r="C153" i="8"/>
  <c r="C15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85" i="8"/>
  <c r="C86" i="8"/>
  <c r="C87" i="8"/>
  <c r="C88" i="8"/>
  <c r="C89" i="8"/>
  <c r="C90" i="8"/>
  <c r="C91" i="8"/>
  <c r="C92" i="8"/>
  <c r="C93" i="8"/>
  <c r="C94" i="8"/>
  <c r="C95" i="8"/>
  <c r="C96" i="8"/>
  <c r="C97" i="8"/>
  <c r="C98" i="8"/>
  <c r="C99" i="8"/>
  <c r="C100" i="8"/>
  <c r="C101" i="8"/>
  <c r="C102" i="8"/>
  <c r="C103" i="8"/>
  <c r="C104"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13" i="8"/>
  <c r="C14" i="8"/>
  <c r="C15" i="8"/>
  <c r="C16" i="8"/>
  <c r="C17" i="8"/>
  <c r="C18" i="8"/>
  <c r="C19" i="8"/>
  <c r="C20" i="8"/>
  <c r="C21" i="8"/>
  <c r="C22" i="8"/>
  <c r="C5" i="8"/>
  <c r="C6" i="8"/>
  <c r="C7" i="8"/>
  <c r="C8" i="8"/>
  <c r="C9" i="8"/>
  <c r="C10" i="8"/>
  <c r="C11" i="8"/>
  <c r="C12" i="8"/>
  <c r="C4" i="8"/>
  <c r="C212" i="2"/>
  <c r="C192" i="2"/>
  <c r="C214" i="2"/>
  <c r="C221" i="2"/>
  <c r="C235" i="2"/>
  <c r="C242" i="2"/>
  <c r="C247" i="2"/>
  <c r="C239" i="2"/>
  <c r="C251" i="2"/>
  <c r="C260" i="2"/>
  <c r="C266" i="2"/>
  <c r="C269" i="2"/>
  <c r="C187" i="2"/>
  <c r="C190" i="2"/>
  <c r="C194" i="2"/>
  <c r="C201" i="2"/>
  <c r="C205" i="2"/>
  <c r="C209" i="2"/>
  <c r="C185" i="2"/>
  <c r="C175" i="2"/>
  <c r="C179" i="2"/>
  <c r="C181" i="2"/>
  <c r="C156" i="2"/>
  <c r="C168" i="2"/>
  <c r="C172" i="2"/>
  <c r="C173" i="2"/>
  <c r="C136" i="2"/>
  <c r="C158" i="2"/>
  <c r="C150" i="2"/>
  <c r="C108" i="2"/>
  <c r="C129" i="2"/>
  <c r="C131" i="2"/>
  <c r="C138" i="2"/>
  <c r="C63" i="2"/>
  <c r="C66" i="2"/>
  <c r="C64" i="2"/>
  <c r="C72" i="2"/>
  <c r="C78" i="2"/>
  <c r="C80" i="2"/>
  <c r="C83" i="2"/>
  <c r="C87" i="2"/>
  <c r="C84" i="2"/>
  <c r="C96" i="2"/>
  <c r="C100" i="2"/>
  <c r="C103" i="2"/>
  <c r="C106" i="2"/>
  <c r="C110" i="2"/>
  <c r="C112" i="2"/>
  <c r="C115" i="2"/>
  <c r="C123" i="2"/>
  <c r="C35" i="2"/>
  <c r="C37" i="2"/>
  <c r="C44" i="2"/>
  <c r="C59" i="2"/>
  <c r="C60" i="2"/>
  <c r="G269" i="2"/>
  <c r="G266" i="2"/>
  <c r="G260" i="2"/>
  <c r="G251" i="2"/>
  <c r="G239" i="2"/>
  <c r="G247" i="2"/>
  <c r="G242" i="2"/>
  <c r="G235" i="2"/>
  <c r="G221" i="2"/>
  <c r="G214" i="2"/>
  <c r="G192" i="2"/>
  <c r="G212" i="2"/>
  <c r="G209" i="2"/>
  <c r="G205" i="2"/>
  <c r="G201" i="2"/>
  <c r="G194" i="2"/>
  <c r="G190" i="2"/>
  <c r="G187" i="2"/>
  <c r="G185" i="2"/>
  <c r="G181" i="2"/>
  <c r="G179" i="2"/>
  <c r="G175" i="2"/>
  <c r="G173" i="2"/>
  <c r="G172" i="2"/>
  <c r="G168" i="2"/>
  <c r="G156" i="2"/>
  <c r="G150" i="2"/>
  <c r="G158" i="2"/>
  <c r="G136" i="2"/>
  <c r="G138" i="2"/>
  <c r="G131" i="2"/>
  <c r="G129" i="2"/>
  <c r="G108" i="2"/>
  <c r="G123" i="2"/>
  <c r="G115" i="2"/>
  <c r="G112" i="2"/>
  <c r="G110" i="2"/>
  <c r="G106" i="2"/>
  <c r="G103" i="2"/>
  <c r="G100" i="2"/>
  <c r="G96" i="2"/>
  <c r="G84" i="2"/>
  <c r="G87" i="2"/>
  <c r="G83" i="2"/>
  <c r="G80" i="2"/>
  <c r="G78" i="2"/>
  <c r="G72" i="2"/>
  <c r="G64" i="2"/>
  <c r="G66" i="2"/>
  <c r="G63" i="2"/>
  <c r="G60" i="2"/>
  <c r="G59" i="2"/>
  <c r="G44" i="2"/>
  <c r="G37" i="2"/>
  <c r="G35" i="2"/>
  <c r="J35" i="2"/>
  <c r="J37" i="2"/>
  <c r="J44" i="2"/>
  <c r="J59" i="2"/>
  <c r="J60" i="2"/>
  <c r="J63" i="2"/>
  <c r="J66" i="2"/>
  <c r="J64" i="2"/>
  <c r="J72" i="2"/>
  <c r="J78" i="2"/>
  <c r="J80" i="2"/>
  <c r="J83" i="2"/>
  <c r="J87" i="2"/>
  <c r="J84" i="2"/>
  <c r="J96" i="2"/>
  <c r="J100" i="2"/>
  <c r="J103" i="2"/>
  <c r="J106" i="2"/>
  <c r="J110" i="2"/>
  <c r="J112" i="2"/>
  <c r="J115" i="2"/>
  <c r="J123" i="2"/>
  <c r="J108" i="2"/>
  <c r="J129" i="2"/>
  <c r="J131" i="2"/>
  <c r="J138" i="2"/>
  <c r="J136" i="2"/>
  <c r="J158" i="2"/>
  <c r="J150" i="2"/>
  <c r="J156" i="2"/>
  <c r="J168" i="2"/>
  <c r="J172" i="2"/>
  <c r="J173" i="2"/>
  <c r="J175" i="2"/>
  <c r="J179" i="2"/>
  <c r="J181" i="2"/>
  <c r="J185" i="2"/>
  <c r="J187" i="2"/>
  <c r="J190" i="2"/>
  <c r="J194" i="2"/>
  <c r="J201" i="2"/>
  <c r="J205" i="2"/>
  <c r="J209" i="2"/>
  <c r="J212" i="2"/>
  <c r="J192" i="2"/>
  <c r="J214" i="2"/>
  <c r="J221" i="2"/>
  <c r="J235" i="2"/>
  <c r="J242" i="2"/>
  <c r="J247" i="2"/>
  <c r="J239" i="2"/>
  <c r="J251" i="2"/>
  <c r="J260" i="2"/>
  <c r="J266" i="2"/>
  <c r="J269" i="2"/>
  <c r="L119" i="6"/>
  <c r="L116" i="6"/>
  <c r="L113" i="6"/>
  <c r="L110" i="6"/>
  <c r="L107" i="6"/>
  <c r="L86" i="6"/>
  <c r="L104" i="6"/>
  <c r="L101" i="6"/>
  <c r="L95" i="6"/>
  <c r="L98" i="6"/>
  <c r="L92" i="6"/>
  <c r="L89" i="6"/>
  <c r="L83" i="6"/>
  <c r="L80" i="6"/>
  <c r="L77" i="6"/>
  <c r="L74" i="6"/>
  <c r="L71" i="6"/>
  <c r="L68" i="6"/>
  <c r="L65" i="6"/>
  <c r="L62" i="6"/>
  <c r="L59" i="6"/>
  <c r="L56" i="6"/>
  <c r="L53" i="6"/>
  <c r="L50" i="6"/>
  <c r="L47" i="6"/>
  <c r="L44" i="6"/>
  <c r="L41" i="6"/>
  <c r="L38" i="6"/>
  <c r="L35" i="6"/>
  <c r="L32" i="6"/>
  <c r="L29" i="6"/>
  <c r="L26" i="6"/>
  <c r="L23" i="6"/>
  <c r="L20" i="6"/>
  <c r="L132" i="6"/>
  <c r="L140" i="6"/>
  <c r="L137" i="6"/>
  <c r="L129" i="6"/>
  <c r="L126" i="6"/>
  <c r="L124" i="6"/>
  <c r="L121" i="6"/>
  <c r="L114" i="6"/>
  <c r="L109" i="6"/>
  <c r="L102" i="6"/>
  <c r="L97" i="6"/>
  <c r="L90" i="6"/>
  <c r="L85" i="6"/>
  <c r="L78" i="6"/>
  <c r="L73" i="6"/>
  <c r="L66" i="6"/>
  <c r="L61" i="6"/>
  <c r="L57" i="6"/>
  <c r="L49" i="6"/>
  <c r="L42" i="6"/>
  <c r="L37" i="6"/>
  <c r="L30" i="6"/>
  <c r="L25" i="6"/>
  <c r="L18" i="6"/>
  <c r="L13" i="6"/>
  <c r="L8" i="6"/>
  <c r="E2" i="8"/>
  <c r="L6" i="6" s="1"/>
  <c r="C3" i="8"/>
  <c r="L7" i="6" s="1"/>
  <c r="L9" i="6"/>
  <c r="L10" i="6"/>
  <c r="L11" i="6"/>
  <c r="L12" i="6"/>
  <c r="L15" i="6"/>
  <c r="L16" i="6"/>
  <c r="L19" i="6"/>
  <c r="L21" i="6"/>
  <c r="L22" i="6"/>
  <c r="L24" i="6"/>
  <c r="L27" i="6"/>
  <c r="L28" i="6"/>
  <c r="L31" i="6"/>
  <c r="L33" i="6"/>
  <c r="L34" i="6"/>
  <c r="L36" i="6"/>
  <c r="L39" i="6"/>
  <c r="L40" i="6"/>
  <c r="L43" i="6"/>
  <c r="L45" i="6"/>
  <c r="L46" i="6"/>
  <c r="L48" i="6"/>
  <c r="L51" i="6"/>
  <c r="L52" i="6"/>
  <c r="L55" i="6"/>
  <c r="L58" i="6"/>
  <c r="L60" i="6"/>
  <c r="L63" i="6"/>
  <c r="L64" i="6"/>
  <c r="L67" i="6"/>
  <c r="L69" i="6"/>
  <c r="L70" i="6"/>
  <c r="L72" i="6"/>
  <c r="L75" i="6"/>
  <c r="L76" i="6"/>
  <c r="L79" i="6"/>
  <c r="L81" i="6"/>
  <c r="L82" i="6"/>
  <c r="L84" i="6"/>
  <c r="L87" i="6"/>
  <c r="L88" i="6"/>
  <c r="L91" i="6"/>
  <c r="L93" i="6"/>
  <c r="L94" i="6"/>
  <c r="L96" i="6"/>
  <c r="L99" i="6"/>
  <c r="L100" i="6"/>
  <c r="L103" i="6"/>
  <c r="L105" i="6"/>
  <c r="L106" i="6"/>
  <c r="L108" i="6"/>
  <c r="L111" i="6"/>
  <c r="L112" i="6"/>
  <c r="L115" i="6"/>
  <c r="L117" i="6"/>
  <c r="L118" i="6"/>
  <c r="L120" i="6"/>
  <c r="L122" i="6"/>
  <c r="L123" i="6"/>
  <c r="L125" i="6"/>
  <c r="L127" i="6"/>
  <c r="L128" i="6"/>
  <c r="L130" i="6"/>
  <c r="L131" i="6"/>
  <c r="L133" i="6"/>
  <c r="L134" i="6"/>
  <c r="L135" i="6"/>
  <c r="L136" i="6"/>
  <c r="L138" i="6"/>
  <c r="L139" i="6"/>
  <c r="L141" i="6"/>
  <c r="L142" i="6"/>
  <c r="L143" i="6"/>
  <c r="C2" i="8"/>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6" i="2"/>
  <c r="C38" i="2"/>
  <c r="C39" i="2"/>
  <c r="C40" i="2"/>
  <c r="C41" i="2"/>
  <c r="C42" i="2"/>
  <c r="C43" i="2"/>
  <c r="C45" i="2"/>
  <c r="C46" i="2"/>
  <c r="C47" i="2"/>
  <c r="C48" i="2"/>
  <c r="C49" i="2"/>
  <c r="C50" i="2"/>
  <c r="C51" i="2"/>
  <c r="C52" i="2"/>
  <c r="C53" i="2"/>
  <c r="C54" i="2"/>
  <c r="C55" i="2"/>
  <c r="C56" i="2"/>
  <c r="C57" i="2"/>
  <c r="C58" i="2"/>
  <c r="C61" i="2"/>
  <c r="C62" i="2"/>
  <c r="C65" i="2"/>
  <c r="C67" i="2"/>
  <c r="C68" i="2"/>
  <c r="C69" i="2"/>
  <c r="C70" i="2"/>
  <c r="C71" i="2"/>
  <c r="C73" i="2"/>
  <c r="C74" i="2"/>
  <c r="C75" i="2"/>
  <c r="C76" i="2"/>
  <c r="C77" i="2"/>
  <c r="C79" i="2"/>
  <c r="C81" i="2"/>
  <c r="C82" i="2"/>
  <c r="C85" i="2"/>
  <c r="C86" i="2"/>
  <c r="C88" i="2"/>
  <c r="C89" i="2"/>
  <c r="C90" i="2"/>
  <c r="C91" i="2"/>
  <c r="C92" i="2"/>
  <c r="C93" i="2"/>
  <c r="C94" i="2"/>
  <c r="C95" i="2"/>
  <c r="C97" i="2"/>
  <c r="C98" i="2"/>
  <c r="C99" i="2"/>
  <c r="C101" i="2"/>
  <c r="C102" i="2"/>
  <c r="C105" i="2"/>
  <c r="C104" i="2"/>
  <c r="C107" i="2"/>
  <c r="C109" i="2"/>
  <c r="C111" i="2"/>
  <c r="C113" i="2"/>
  <c r="C114" i="2"/>
  <c r="C116" i="2"/>
  <c r="C117" i="2"/>
  <c r="C118" i="2"/>
  <c r="C119" i="2"/>
  <c r="C120" i="2"/>
  <c r="C121" i="2"/>
  <c r="C122" i="2"/>
  <c r="C125" i="2"/>
  <c r="C124" i="2"/>
  <c r="C126" i="2"/>
  <c r="C127" i="2"/>
  <c r="C128" i="2"/>
  <c r="C130" i="2"/>
  <c r="C132" i="2"/>
  <c r="C133" i="2"/>
  <c r="C134" i="2"/>
  <c r="C135" i="2"/>
  <c r="C137" i="2"/>
  <c r="C139" i="2"/>
  <c r="C140" i="2"/>
  <c r="C141" i="2"/>
  <c r="C142" i="2"/>
  <c r="C143" i="2"/>
  <c r="C144" i="2"/>
  <c r="C146" i="2"/>
  <c r="D67" i="6" s="1"/>
  <c r="C145" i="2"/>
  <c r="C148" i="2"/>
  <c r="C147" i="2"/>
  <c r="C149" i="2"/>
  <c r="C152" i="2"/>
  <c r="C153" i="2"/>
  <c r="C151" i="2"/>
  <c r="C154" i="2"/>
  <c r="C155" i="2"/>
  <c r="C157" i="2"/>
  <c r="C159" i="2"/>
  <c r="C160" i="2"/>
  <c r="C161" i="2"/>
  <c r="C162" i="2"/>
  <c r="C163" i="2"/>
  <c r="C164" i="2"/>
  <c r="C165" i="2"/>
  <c r="C166" i="2"/>
  <c r="C167" i="2"/>
  <c r="C169" i="2"/>
  <c r="C170" i="2"/>
  <c r="C171" i="2"/>
  <c r="C174" i="2"/>
  <c r="C176" i="2"/>
  <c r="C178" i="2"/>
  <c r="C177" i="2"/>
  <c r="C180" i="2"/>
  <c r="C182" i="2"/>
  <c r="C183" i="2"/>
  <c r="C184" i="2"/>
  <c r="C186" i="2"/>
  <c r="C188" i="2"/>
  <c r="C189" i="2"/>
  <c r="C191" i="2"/>
  <c r="C193" i="2"/>
  <c r="C195" i="2"/>
  <c r="C196" i="2"/>
  <c r="C197" i="2"/>
  <c r="C198" i="2"/>
  <c r="C200" i="2"/>
  <c r="C199" i="2"/>
  <c r="C202" i="2"/>
  <c r="C204" i="2"/>
  <c r="C203" i="2"/>
  <c r="C206" i="2"/>
  <c r="C207" i="2"/>
  <c r="C208" i="2"/>
  <c r="C211" i="2"/>
  <c r="C210" i="2"/>
  <c r="C213" i="2"/>
  <c r="C215" i="2"/>
  <c r="C216" i="2"/>
  <c r="C217" i="2"/>
  <c r="C218" i="2"/>
  <c r="C219" i="2"/>
  <c r="C220" i="2"/>
  <c r="C222" i="2"/>
  <c r="C223" i="2"/>
  <c r="C224" i="2"/>
  <c r="C225" i="2"/>
  <c r="C226" i="2"/>
  <c r="C227" i="2"/>
  <c r="C228" i="2"/>
  <c r="C229" i="2"/>
  <c r="C230" i="2"/>
  <c r="C231" i="2"/>
  <c r="C232" i="2"/>
  <c r="C233" i="2"/>
  <c r="C234" i="2"/>
  <c r="C236" i="2"/>
  <c r="C238" i="2"/>
  <c r="C237" i="2"/>
  <c r="C241" i="2"/>
  <c r="C240" i="2"/>
  <c r="C243" i="2"/>
  <c r="C244" i="2"/>
  <c r="C245" i="2"/>
  <c r="C246" i="2"/>
  <c r="C248" i="2"/>
  <c r="C249" i="2"/>
  <c r="C250" i="2"/>
  <c r="C252" i="2"/>
  <c r="C253" i="2"/>
  <c r="C254" i="2"/>
  <c r="C255" i="2"/>
  <c r="C256" i="2"/>
  <c r="C257" i="2"/>
  <c r="C258" i="2"/>
  <c r="C259" i="2"/>
  <c r="C261" i="2"/>
  <c r="C262" i="2"/>
  <c r="C263" i="2"/>
  <c r="C265" i="2"/>
  <c r="C264" i="2"/>
  <c r="C267" i="2"/>
  <c r="C268"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2" i="2"/>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7" i="1"/>
  <c r="F668" i="1"/>
  <c r="F669" i="1"/>
  <c r="F670" i="1"/>
  <c r="F671" i="1"/>
  <c r="F672" i="1"/>
  <c r="F673" i="1"/>
  <c r="F674" i="1"/>
  <c r="F675" i="1"/>
  <c r="F676" i="1"/>
  <c r="F677" i="1"/>
  <c r="F678" i="1"/>
  <c r="F679" i="1"/>
  <c r="F680" i="1"/>
  <c r="F681" i="1"/>
  <c r="F682" i="1"/>
  <c r="F683" i="1"/>
  <c r="F684" i="1"/>
  <c r="F685" i="1"/>
  <c r="F686" i="1"/>
  <c r="F687" i="1"/>
  <c r="F689" i="1"/>
  <c r="F690" i="1"/>
  <c r="F691" i="1"/>
  <c r="F692" i="1"/>
  <c r="F693" i="1"/>
  <c r="F694" i="1"/>
  <c r="F695" i="1"/>
  <c r="F696" i="1"/>
  <c r="F697" i="1"/>
  <c r="F698" i="1"/>
  <c r="F699" i="1"/>
  <c r="F700" i="1"/>
  <c r="F701" i="1"/>
  <c r="F702" i="1"/>
  <c r="F703" i="1"/>
  <c r="F705" i="1"/>
  <c r="F706" i="1"/>
  <c r="F707" i="1"/>
  <c r="F708" i="1"/>
  <c r="F709" i="1"/>
  <c r="F710" i="1"/>
  <c r="F711" i="1"/>
  <c r="F712" i="1"/>
  <c r="F713" i="1"/>
  <c r="F714" i="1"/>
  <c r="F715" i="1"/>
  <c r="F716" i="1"/>
  <c r="F717" i="1"/>
  <c r="F718" i="1"/>
  <c r="F719" i="1"/>
  <c r="F720" i="1"/>
  <c r="F721" i="1"/>
  <c r="F722" i="1"/>
  <c r="F723" i="1"/>
  <c r="F724" i="1"/>
  <c r="F726" i="1"/>
  <c r="F727" i="1"/>
  <c r="F728" i="1"/>
  <c r="F729" i="1"/>
  <c r="F730" i="1"/>
  <c r="F731" i="1"/>
  <c r="F732" i="1"/>
  <c r="F733" i="1"/>
  <c r="F734" i="1"/>
  <c r="F735" i="1"/>
  <c r="F736" i="1"/>
  <c r="F737" i="1"/>
  <c r="F738" i="1"/>
  <c r="F739" i="1"/>
  <c r="F740" i="1"/>
  <c r="F741" i="1"/>
  <c r="F742" i="1"/>
  <c r="F743" i="1"/>
  <c r="F744" i="1"/>
  <c r="F745" i="1"/>
  <c r="F746" i="1"/>
  <c r="F748" i="1"/>
  <c r="F749" i="1"/>
  <c r="F750" i="1"/>
  <c r="F751" i="1"/>
  <c r="F752" i="1"/>
  <c r="F753" i="1"/>
  <c r="F754" i="1"/>
  <c r="F755" i="1"/>
  <c r="F756" i="1"/>
  <c r="F757" i="1"/>
  <c r="F758" i="1"/>
  <c r="F759" i="1"/>
  <c r="F760" i="1"/>
  <c r="F761" i="1"/>
  <c r="F762" i="1"/>
  <c r="F763" i="1"/>
  <c r="F764" i="1"/>
  <c r="F765"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1000" i="1"/>
  <c r="F1001" i="1"/>
  <c r="F1002" i="1"/>
  <c r="F1003" i="1"/>
  <c r="F1004" i="1"/>
  <c r="F1005" i="1"/>
  <c r="F1006" i="1"/>
  <c r="F1007" i="1"/>
  <c r="F1008" i="1"/>
  <c r="F1009" i="1"/>
  <c r="F1010" i="1"/>
  <c r="F1011" i="1"/>
  <c r="F1012" i="1"/>
  <c r="F1013" i="1"/>
  <c r="F1014" i="1"/>
  <c r="F1015" i="1"/>
  <c r="F1016" i="1"/>
  <c r="F1017" i="1"/>
  <c r="F1018"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6" i="1"/>
  <c r="F1047" i="1"/>
  <c r="F1048" i="1"/>
  <c r="F1049" i="1"/>
  <c r="F1050" i="1"/>
  <c r="F1051" i="1"/>
  <c r="F1052" i="1"/>
  <c r="F1053" i="1"/>
  <c r="F1054" i="1"/>
  <c r="F1055" i="1"/>
  <c r="F1056" i="1"/>
  <c r="F1057" i="1"/>
  <c r="F1058" i="1"/>
  <c r="F1059" i="1"/>
  <c r="F1060" i="1"/>
  <c r="F1061" i="1"/>
  <c r="F1062" i="1"/>
  <c r="F1063" i="1"/>
  <c r="F1064" i="1"/>
  <c r="F1065" i="1"/>
  <c r="F1066" i="1"/>
  <c r="F1067" i="1"/>
  <c r="F1069" i="1"/>
  <c r="F1070" i="1"/>
  <c r="F1071" i="1"/>
  <c r="F1072" i="1"/>
  <c r="F1073" i="1"/>
  <c r="F1074" i="1"/>
  <c r="F1075" i="1"/>
  <c r="F1076" i="1"/>
  <c r="F1077" i="1"/>
  <c r="F1078" i="1"/>
  <c r="F1079" i="1"/>
  <c r="F1080" i="1"/>
  <c r="F1081" i="1"/>
  <c r="F1082" i="1"/>
  <c r="F1083" i="1"/>
  <c r="F1084" i="1"/>
  <c r="F1085" i="1"/>
  <c r="F1086" i="1"/>
  <c r="F1087" i="1"/>
  <c r="F1088" i="1"/>
  <c r="F1089"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4" i="1"/>
  <c r="F1155" i="1"/>
  <c r="F1156" i="1"/>
  <c r="F1157" i="1"/>
  <c r="F1158" i="1"/>
  <c r="F1159" i="1"/>
  <c r="F1160" i="1"/>
  <c r="F1161" i="1"/>
  <c r="F1162" i="1"/>
  <c r="F1163" i="1"/>
  <c r="F1164" i="1"/>
  <c r="F1165" i="1"/>
  <c r="F1166" i="1"/>
  <c r="F1167" i="1"/>
  <c r="F1168" i="1"/>
  <c r="F1169" i="1"/>
  <c r="F1170" i="1"/>
  <c r="F1171" i="1"/>
  <c r="F1172" i="1"/>
  <c r="F1173"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10" i="1"/>
  <c r="F1311" i="1"/>
  <c r="F1312" i="1"/>
  <c r="F1313" i="1"/>
  <c r="F1314" i="1"/>
  <c r="F1315" i="1"/>
  <c r="F1316" i="1"/>
  <c r="F1317" i="1"/>
  <c r="F1318" i="1"/>
  <c r="F1319" i="1"/>
  <c r="F1320" i="1"/>
  <c r="F1321" i="1"/>
  <c r="F1322" i="1"/>
  <c r="F1323" i="1"/>
  <c r="F1324" i="1"/>
  <c r="F1325" i="1"/>
  <c r="F1326" i="1"/>
  <c r="F1327"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6" i="1"/>
  <c r="F1357" i="1"/>
  <c r="F1358" i="1"/>
  <c r="F1359" i="1"/>
  <c r="F1360" i="1"/>
  <c r="F1361" i="1"/>
  <c r="F1362" i="1"/>
  <c r="F1363" i="1"/>
  <c r="F1364" i="1"/>
  <c r="F1365" i="1"/>
  <c r="F1366" i="1"/>
  <c r="F1367" i="1"/>
  <c r="F1368"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29" i="1"/>
  <c r="F130" i="1"/>
  <c r="F131" i="1"/>
  <c r="F132" i="1"/>
  <c r="F133" i="1"/>
  <c r="F134" i="1"/>
  <c r="F135" i="1"/>
  <c r="F136" i="1"/>
  <c r="F137" i="1"/>
  <c r="F138" i="1"/>
  <c r="F139" i="1"/>
  <c r="F140" i="1"/>
  <c r="F141" i="1"/>
  <c r="F142" i="1"/>
  <c r="E17" i="6" s="1"/>
  <c r="F143" i="1"/>
  <c r="F144" i="1"/>
  <c r="F145" i="1"/>
  <c r="F146"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69" i="1"/>
  <c r="F70" i="1"/>
  <c r="F71" i="1"/>
  <c r="F72" i="1"/>
  <c r="F73" i="1"/>
  <c r="F74" i="1"/>
  <c r="F75" i="1"/>
  <c r="F76" i="1"/>
  <c r="F77" i="1"/>
  <c r="F78" i="1"/>
  <c r="F79" i="1"/>
  <c r="F80" i="1"/>
  <c r="F81" i="1"/>
  <c r="F82" i="1"/>
  <c r="F83" i="1"/>
  <c r="F84" i="1"/>
  <c r="F85" i="1"/>
  <c r="F86" i="1"/>
  <c r="F87" i="1"/>
  <c r="F88" i="1"/>
  <c r="F89" i="1"/>
  <c r="F90" i="1"/>
  <c r="F91" i="1"/>
  <c r="F92" i="1"/>
  <c r="F93" i="1"/>
  <c r="F94" i="1"/>
  <c r="F95" i="1"/>
  <c r="F52" i="1"/>
  <c r="F53" i="1"/>
  <c r="F54" i="1"/>
  <c r="F55" i="1"/>
  <c r="F56" i="1"/>
  <c r="F57" i="1"/>
  <c r="F58" i="1"/>
  <c r="F59" i="1"/>
  <c r="F60" i="1"/>
  <c r="F61" i="1"/>
  <c r="F62" i="1"/>
  <c r="F63" i="1"/>
  <c r="F64" i="1"/>
  <c r="F65" i="1"/>
  <c r="F66" i="1"/>
  <c r="F67" i="1"/>
  <c r="F68" i="1"/>
  <c r="F36" i="1"/>
  <c r="F37" i="1"/>
  <c r="F38" i="1"/>
  <c r="F39" i="1"/>
  <c r="F40" i="1"/>
  <c r="F41" i="1"/>
  <c r="F42" i="1"/>
  <c r="F43" i="1"/>
  <c r="F44" i="1"/>
  <c r="F45" i="1"/>
  <c r="F46" i="1"/>
  <c r="F47" i="1"/>
  <c r="F48" i="1"/>
  <c r="F49" i="1"/>
  <c r="F50" i="1"/>
  <c r="F5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2" i="1"/>
  <c r="G14" i="6" s="1"/>
  <c r="J57" i="2"/>
  <c r="J58" i="2"/>
  <c r="J61" i="2"/>
  <c r="J62" i="2"/>
  <c r="J65" i="2"/>
  <c r="J67" i="2"/>
  <c r="J68" i="2"/>
  <c r="J69" i="2"/>
  <c r="J70" i="2"/>
  <c r="J71" i="2"/>
  <c r="J73" i="2"/>
  <c r="J74" i="2"/>
  <c r="J75" i="2"/>
  <c r="J76" i="2"/>
  <c r="J77" i="2"/>
  <c r="J79" i="2"/>
  <c r="J81" i="2"/>
  <c r="J82" i="2"/>
  <c r="J85" i="2"/>
  <c r="J86" i="2"/>
  <c r="J88" i="2"/>
  <c r="J89" i="2"/>
  <c r="J90" i="2"/>
  <c r="J91" i="2"/>
  <c r="J92" i="2"/>
  <c r="J93" i="2"/>
  <c r="J94" i="2"/>
  <c r="J95" i="2"/>
  <c r="J97" i="2"/>
  <c r="J98" i="2"/>
  <c r="J99" i="2"/>
  <c r="J101" i="2"/>
  <c r="J102" i="2"/>
  <c r="J105" i="2"/>
  <c r="J104" i="2"/>
  <c r="J107" i="2"/>
  <c r="J109" i="2"/>
  <c r="J111" i="2"/>
  <c r="J113" i="2"/>
  <c r="J114" i="2"/>
  <c r="J116" i="2"/>
  <c r="J117" i="2"/>
  <c r="J118" i="2"/>
  <c r="J119" i="2"/>
  <c r="J120" i="2"/>
  <c r="J121" i="2"/>
  <c r="J122" i="2"/>
  <c r="J125" i="2"/>
  <c r="J124" i="2"/>
  <c r="J126" i="2"/>
  <c r="J127" i="2"/>
  <c r="J128" i="2"/>
  <c r="J130" i="2"/>
  <c r="J132" i="2"/>
  <c r="J133" i="2"/>
  <c r="J134" i="2"/>
  <c r="J135" i="2"/>
  <c r="J137" i="2"/>
  <c r="J139" i="2"/>
  <c r="J140" i="2"/>
  <c r="J141" i="2"/>
  <c r="J142" i="2"/>
  <c r="J143" i="2"/>
  <c r="J144" i="2"/>
  <c r="J146" i="2"/>
  <c r="J145" i="2"/>
  <c r="J148" i="2"/>
  <c r="J147" i="2"/>
  <c r="J149" i="2"/>
  <c r="J152" i="2"/>
  <c r="J153" i="2"/>
  <c r="J151" i="2"/>
  <c r="J154" i="2"/>
  <c r="J155" i="2"/>
  <c r="J157" i="2"/>
  <c r="J159" i="2"/>
  <c r="J160" i="2"/>
  <c r="J161" i="2"/>
  <c r="J162" i="2"/>
  <c r="J163" i="2"/>
  <c r="J164" i="2"/>
  <c r="J165" i="2"/>
  <c r="J166" i="2"/>
  <c r="J167" i="2"/>
  <c r="J169" i="2"/>
  <c r="J170" i="2"/>
  <c r="J171" i="2"/>
  <c r="J174" i="2"/>
  <c r="J176" i="2"/>
  <c r="J178" i="2"/>
  <c r="J177" i="2"/>
  <c r="J180" i="2"/>
  <c r="J182" i="2"/>
  <c r="J183" i="2"/>
  <c r="J184" i="2"/>
  <c r="J186" i="2"/>
  <c r="J188" i="2"/>
  <c r="J189" i="2"/>
  <c r="J191" i="2"/>
  <c r="J193" i="2"/>
  <c r="J195" i="2"/>
  <c r="J196" i="2"/>
  <c r="J197" i="2"/>
  <c r="J198" i="2"/>
  <c r="J200" i="2"/>
  <c r="J199" i="2"/>
  <c r="J202" i="2"/>
  <c r="J204" i="2"/>
  <c r="J203" i="2"/>
  <c r="J206" i="2"/>
  <c r="J207" i="2"/>
  <c r="J208" i="2"/>
  <c r="J211" i="2"/>
  <c r="J210" i="2"/>
  <c r="J213" i="2"/>
  <c r="J215" i="2"/>
  <c r="J216" i="2"/>
  <c r="J217" i="2"/>
  <c r="J218" i="2"/>
  <c r="J219" i="2"/>
  <c r="J220" i="2"/>
  <c r="J222" i="2"/>
  <c r="J223" i="2"/>
  <c r="J224" i="2"/>
  <c r="J225" i="2"/>
  <c r="J226" i="2"/>
  <c r="J227" i="2"/>
  <c r="J228" i="2"/>
  <c r="J229" i="2"/>
  <c r="J230" i="2"/>
  <c r="J231" i="2"/>
  <c r="J232" i="2"/>
  <c r="J233" i="2"/>
  <c r="J234" i="2"/>
  <c r="J236" i="2"/>
  <c r="J238" i="2"/>
  <c r="J237" i="2"/>
  <c r="J241" i="2"/>
  <c r="J240" i="2"/>
  <c r="J243" i="2"/>
  <c r="J244" i="2"/>
  <c r="J245" i="2"/>
  <c r="J246" i="2"/>
  <c r="J248" i="2"/>
  <c r="J249" i="2"/>
  <c r="J250" i="2"/>
  <c r="J252" i="2"/>
  <c r="J253" i="2"/>
  <c r="J254" i="2"/>
  <c r="J255" i="2"/>
  <c r="J256" i="2"/>
  <c r="J257" i="2"/>
  <c r="J258" i="2"/>
  <c r="J259" i="2"/>
  <c r="J261" i="2"/>
  <c r="J262" i="2"/>
  <c r="J263" i="2"/>
  <c r="J265" i="2"/>
  <c r="J264" i="2"/>
  <c r="J267" i="2"/>
  <c r="J268"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28" i="2"/>
  <c r="J29" i="2"/>
  <c r="J30" i="2"/>
  <c r="J31" i="2"/>
  <c r="J32" i="2"/>
  <c r="J33" i="2"/>
  <c r="J34" i="2"/>
  <c r="J36" i="2"/>
  <c r="J38" i="2"/>
  <c r="J39" i="2"/>
  <c r="J40" i="2"/>
  <c r="J41" i="2"/>
  <c r="J42" i="2"/>
  <c r="J43" i="2"/>
  <c r="J45" i="2"/>
  <c r="J46" i="2"/>
  <c r="J47" i="2"/>
  <c r="J48" i="2"/>
  <c r="J49" i="2"/>
  <c r="J50" i="2"/>
  <c r="J51" i="2"/>
  <c r="J52" i="2"/>
  <c r="J53" i="2"/>
  <c r="J54" i="2"/>
  <c r="J55" i="2"/>
  <c r="J56" i="2"/>
  <c r="J3" i="2"/>
  <c r="J4" i="2"/>
  <c r="J5" i="2"/>
  <c r="J6" i="2"/>
  <c r="J7" i="2"/>
  <c r="J8" i="2"/>
  <c r="J9" i="2"/>
  <c r="J10" i="2"/>
  <c r="J11" i="2"/>
  <c r="J12" i="2"/>
  <c r="J13" i="2"/>
  <c r="J14" i="2"/>
  <c r="J15" i="2"/>
  <c r="J16" i="2"/>
  <c r="J17" i="2"/>
  <c r="J18" i="2"/>
  <c r="J19" i="2"/>
  <c r="J20" i="2"/>
  <c r="J21" i="2"/>
  <c r="J22" i="2"/>
  <c r="J23" i="2"/>
  <c r="J24" i="2"/>
  <c r="J25" i="2"/>
  <c r="J26" i="2"/>
  <c r="J27" i="2"/>
  <c r="J2" i="2"/>
  <c r="G2"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6" i="2"/>
  <c r="G38" i="2"/>
  <c r="G39" i="2"/>
  <c r="G40" i="2"/>
  <c r="G41" i="2"/>
  <c r="G42" i="2"/>
  <c r="G43" i="2"/>
  <c r="G45" i="2"/>
  <c r="G46" i="2"/>
  <c r="G47" i="2"/>
  <c r="G48" i="2"/>
  <c r="G49" i="2"/>
  <c r="G50" i="2"/>
  <c r="G51" i="2"/>
  <c r="G52" i="2"/>
  <c r="G53" i="2"/>
  <c r="G54" i="2"/>
  <c r="G55" i="2"/>
  <c r="G56" i="2"/>
  <c r="G57" i="2"/>
  <c r="G58" i="2"/>
  <c r="G61" i="2"/>
  <c r="G62" i="2"/>
  <c r="G65" i="2"/>
  <c r="G67" i="2"/>
  <c r="G68" i="2"/>
  <c r="G69" i="2"/>
  <c r="G70" i="2"/>
  <c r="G71" i="2"/>
  <c r="G73" i="2"/>
  <c r="G74" i="2"/>
  <c r="G75" i="2"/>
  <c r="G76" i="2"/>
  <c r="G77" i="2"/>
  <c r="G79" i="2"/>
  <c r="G81" i="2"/>
  <c r="G82" i="2"/>
  <c r="G85" i="2"/>
  <c r="G86" i="2"/>
  <c r="G88" i="2"/>
  <c r="G89" i="2"/>
  <c r="G90" i="2"/>
  <c r="G91" i="2"/>
  <c r="G92" i="2"/>
  <c r="G93" i="2"/>
  <c r="G94" i="2"/>
  <c r="G95" i="2"/>
  <c r="G97" i="2"/>
  <c r="G98" i="2"/>
  <c r="G99" i="2"/>
  <c r="G101" i="2"/>
  <c r="G102" i="2"/>
  <c r="G105" i="2"/>
  <c r="G104" i="2"/>
  <c r="G107" i="2"/>
  <c r="G109" i="2"/>
  <c r="G111" i="2"/>
  <c r="G113" i="2"/>
  <c r="G114" i="2"/>
  <c r="G116" i="2"/>
  <c r="G117" i="2"/>
  <c r="G118" i="2"/>
  <c r="G119" i="2"/>
  <c r="G120" i="2"/>
  <c r="G121" i="2"/>
  <c r="G122" i="2"/>
  <c r="G125" i="2"/>
  <c r="G124" i="2"/>
  <c r="G126" i="2"/>
  <c r="G127" i="2"/>
  <c r="G128" i="2"/>
  <c r="G130" i="2"/>
  <c r="G132" i="2"/>
  <c r="G133" i="2"/>
  <c r="G134" i="2"/>
  <c r="G135" i="2"/>
  <c r="G137" i="2"/>
  <c r="G139" i="2"/>
  <c r="G140" i="2"/>
  <c r="G141" i="2"/>
  <c r="G142" i="2"/>
  <c r="G143" i="2"/>
  <c r="G144" i="2"/>
  <c r="G146" i="2"/>
  <c r="G145" i="2"/>
  <c r="G148" i="2"/>
  <c r="G147" i="2"/>
  <c r="G149" i="2"/>
  <c r="G152" i="2"/>
  <c r="G153" i="2"/>
  <c r="G154" i="2"/>
  <c r="G155" i="2"/>
  <c r="G157" i="2"/>
  <c r="G159" i="2"/>
  <c r="G160" i="2"/>
  <c r="G161" i="2"/>
  <c r="G162" i="2"/>
  <c r="G163" i="2"/>
  <c r="G164" i="2"/>
  <c r="G165" i="2"/>
  <c r="G166" i="2"/>
  <c r="G167" i="2"/>
  <c r="G169" i="2"/>
  <c r="G170" i="2"/>
  <c r="G171" i="2"/>
  <c r="G174" i="2"/>
  <c r="G176" i="2"/>
  <c r="G178" i="2"/>
  <c r="G177" i="2"/>
  <c r="G180" i="2"/>
  <c r="G182" i="2"/>
  <c r="G183" i="2"/>
  <c r="G184" i="2"/>
  <c r="G186" i="2"/>
  <c r="G188" i="2"/>
  <c r="G189" i="2"/>
  <c r="G191" i="2"/>
  <c r="G193" i="2"/>
  <c r="G195" i="2"/>
  <c r="G196" i="2"/>
  <c r="G197" i="2"/>
  <c r="G198" i="2"/>
  <c r="G200" i="2"/>
  <c r="G199" i="2"/>
  <c r="G202" i="2"/>
  <c r="G204" i="2"/>
  <c r="G203" i="2"/>
  <c r="G206" i="2"/>
  <c r="G207" i="2"/>
  <c r="G208" i="2"/>
  <c r="G211" i="2"/>
  <c r="G210" i="2"/>
  <c r="G213" i="2"/>
  <c r="G215" i="2"/>
  <c r="G216" i="2"/>
  <c r="G217" i="2"/>
  <c r="G218" i="2"/>
  <c r="G219" i="2"/>
  <c r="G220" i="2"/>
  <c r="G222" i="2"/>
  <c r="G223" i="2"/>
  <c r="G224" i="2"/>
  <c r="G225" i="2"/>
  <c r="G226" i="2"/>
  <c r="G227" i="2"/>
  <c r="G228" i="2"/>
  <c r="G229" i="2"/>
  <c r="G230" i="2"/>
  <c r="G231" i="2"/>
  <c r="G232" i="2"/>
  <c r="G233" i="2"/>
  <c r="G234" i="2"/>
  <c r="G236" i="2"/>
  <c r="G238" i="2"/>
  <c r="G237" i="2"/>
  <c r="G241" i="2"/>
  <c r="G240" i="2"/>
  <c r="G243" i="2"/>
  <c r="G244" i="2"/>
  <c r="G245" i="2"/>
  <c r="G246" i="2"/>
  <c r="G248" i="2"/>
  <c r="G249" i="2"/>
  <c r="G250" i="2"/>
  <c r="G252" i="2"/>
  <c r="G253" i="2"/>
  <c r="G254" i="2"/>
  <c r="G255" i="2"/>
  <c r="G256" i="2"/>
  <c r="G257" i="2"/>
  <c r="G258" i="2"/>
  <c r="G259" i="2"/>
  <c r="G261" i="2"/>
  <c r="G262" i="2"/>
  <c r="G263" i="2"/>
  <c r="G265" i="2"/>
  <c r="G264" i="2"/>
  <c r="G267" i="2"/>
  <c r="G268"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151" i="2"/>
  <c r="O2" i="6" l="1"/>
  <c r="O3" i="6"/>
  <c r="O4" i="6"/>
  <c r="M17" i="6"/>
  <c r="O5" i="6"/>
  <c r="O14" i="6"/>
  <c r="P17" i="6"/>
  <c r="P2" i="6"/>
  <c r="O17" i="6"/>
  <c r="P3" i="6"/>
  <c r="P4" i="6"/>
  <c r="P5" i="6"/>
  <c r="P14" i="6"/>
  <c r="M14" i="6"/>
  <c r="M67" i="6"/>
  <c r="M68" i="6"/>
  <c r="G17" i="6"/>
  <c r="H17" i="6" s="1"/>
  <c r="I17" i="6" s="1"/>
  <c r="J17" i="6" s="1"/>
  <c r="E14" i="6"/>
  <c r="K17" i="6"/>
  <c r="H14" i="6"/>
  <c r="K14" i="6"/>
  <c r="F5" i="6"/>
  <c r="F4" i="6"/>
  <c r="F3" i="6"/>
  <c r="F2" i="6"/>
  <c r="E2" i="6"/>
  <c r="G2" i="6"/>
  <c r="H2" i="6" s="1"/>
  <c r="E5" i="6"/>
  <c r="G5" i="6"/>
  <c r="H5" i="6" s="1"/>
  <c r="E4" i="6"/>
  <c r="G4" i="6"/>
  <c r="H4" i="6" s="1"/>
  <c r="E3" i="6"/>
  <c r="G3" i="6"/>
  <c r="H3" i="6" s="1"/>
  <c r="E114" i="6"/>
  <c r="E139" i="6"/>
  <c r="E104" i="6"/>
  <c r="E25" i="6"/>
  <c r="E16" i="6"/>
  <c r="E29" i="6"/>
  <c r="E58" i="6"/>
  <c r="E50" i="6"/>
  <c r="E42" i="6"/>
  <c r="E34" i="6"/>
  <c r="E79" i="6"/>
  <c r="E71" i="6"/>
  <c r="E63" i="6"/>
  <c r="E103" i="6"/>
  <c r="E95" i="6"/>
  <c r="E87" i="6"/>
  <c r="E129" i="6"/>
  <c r="E121" i="6"/>
  <c r="E113" i="6"/>
  <c r="E138" i="6"/>
  <c r="E24" i="6"/>
  <c r="E15" i="6"/>
  <c r="E28" i="6"/>
  <c r="E57" i="6"/>
  <c r="E49" i="6"/>
  <c r="E41" i="6"/>
  <c r="E86" i="6"/>
  <c r="E78" i="6"/>
  <c r="E70" i="6"/>
  <c r="E110" i="6"/>
  <c r="E102" i="6"/>
  <c r="E94" i="6"/>
  <c r="E136" i="6"/>
  <c r="E128" i="6"/>
  <c r="E120" i="6"/>
  <c r="E112" i="6"/>
  <c r="E137" i="6"/>
  <c r="E6" i="6"/>
  <c r="E23" i="6"/>
  <c r="E13" i="6"/>
  <c r="E27" i="6"/>
  <c r="E56" i="6"/>
  <c r="E48" i="6"/>
  <c r="E40" i="6"/>
  <c r="E85" i="6"/>
  <c r="E77" i="6"/>
  <c r="E69" i="6"/>
  <c r="E109" i="6"/>
  <c r="E101" i="6"/>
  <c r="E93" i="6"/>
  <c r="E135" i="6"/>
  <c r="E127" i="6"/>
  <c r="E119" i="6"/>
  <c r="E111" i="6"/>
  <c r="E11" i="6"/>
  <c r="E22" i="6"/>
  <c r="E12" i="6"/>
  <c r="E26" i="6"/>
  <c r="E55" i="6"/>
  <c r="E47" i="6"/>
  <c r="E39" i="6"/>
  <c r="E84" i="6"/>
  <c r="E76" i="6"/>
  <c r="E68" i="6"/>
  <c r="E108" i="6"/>
  <c r="E100" i="6"/>
  <c r="E92" i="6"/>
  <c r="E134" i="6"/>
  <c r="E126" i="6"/>
  <c r="E118" i="6"/>
  <c r="E143" i="6"/>
  <c r="E10" i="6"/>
  <c r="E21" i="6"/>
  <c r="E33" i="6"/>
  <c r="E62" i="6"/>
  <c r="E54" i="6"/>
  <c r="E46" i="6"/>
  <c r="E38" i="6"/>
  <c r="E83" i="6"/>
  <c r="E75" i="6"/>
  <c r="E67" i="6"/>
  <c r="E107" i="6"/>
  <c r="E99" i="6"/>
  <c r="E91" i="6"/>
  <c r="E133" i="6"/>
  <c r="E125" i="6"/>
  <c r="E117" i="6"/>
  <c r="E142" i="6"/>
  <c r="E9" i="6"/>
  <c r="E20" i="6"/>
  <c r="E32" i="6"/>
  <c r="E61" i="6"/>
  <c r="E53" i="6"/>
  <c r="E45" i="6"/>
  <c r="E37" i="6"/>
  <c r="E82" i="6"/>
  <c r="E74" i="6"/>
  <c r="E66" i="6"/>
  <c r="E106" i="6"/>
  <c r="E98" i="6"/>
  <c r="E90" i="6"/>
  <c r="E132" i="6"/>
  <c r="E124" i="6"/>
  <c r="E116" i="6"/>
  <c r="E141" i="6"/>
  <c r="E8" i="6"/>
  <c r="E19" i="6"/>
  <c r="E31" i="6"/>
  <c r="E60" i="6"/>
  <c r="E52" i="6"/>
  <c r="E44" i="6"/>
  <c r="E36" i="6"/>
  <c r="E81" i="6"/>
  <c r="E73" i="6"/>
  <c r="E65" i="6"/>
  <c r="E105" i="6"/>
  <c r="E97" i="6"/>
  <c r="E89" i="6"/>
  <c r="E131" i="6"/>
  <c r="E123" i="6"/>
  <c r="E115" i="6"/>
  <c r="E140" i="6"/>
  <c r="E7" i="6"/>
  <c r="E18" i="6"/>
  <c r="E30" i="6"/>
  <c r="E59" i="6"/>
  <c r="E51" i="6"/>
  <c r="E43" i="6"/>
  <c r="E35" i="6"/>
  <c r="E80" i="6"/>
  <c r="E72" i="6"/>
  <c r="E64" i="6"/>
  <c r="E96" i="6"/>
  <c r="E88" i="6"/>
  <c r="E130" i="6"/>
  <c r="E122" i="6"/>
  <c r="C123" i="6"/>
  <c r="C6" i="6"/>
  <c r="C7" i="6"/>
  <c r="C26" i="6"/>
  <c r="C18" i="6"/>
  <c r="C44" i="6"/>
  <c r="C36" i="6"/>
  <c r="C70" i="6"/>
  <c r="C62" i="6"/>
  <c r="C54" i="6"/>
  <c r="C92" i="6"/>
  <c r="C84" i="6"/>
  <c r="C76" i="6"/>
  <c r="C115" i="6"/>
  <c r="C107" i="6"/>
  <c r="C99" i="6"/>
  <c r="C138" i="6"/>
  <c r="C130" i="6"/>
  <c r="C15" i="6"/>
  <c r="C33" i="6"/>
  <c r="C25" i="6"/>
  <c r="C16" i="6"/>
  <c r="C43" i="6"/>
  <c r="C35" i="6"/>
  <c r="C69" i="6"/>
  <c r="C61" i="6"/>
  <c r="C53" i="6"/>
  <c r="C91" i="6"/>
  <c r="C83" i="6"/>
  <c r="C122" i="6"/>
  <c r="C114" i="6"/>
  <c r="C106" i="6"/>
  <c r="C98" i="6"/>
  <c r="C137" i="6"/>
  <c r="C129" i="6"/>
  <c r="C13" i="6"/>
  <c r="C32" i="6"/>
  <c r="C24" i="6"/>
  <c r="C50" i="6"/>
  <c r="C42" i="6"/>
  <c r="C34" i="6"/>
  <c r="C68" i="6"/>
  <c r="C60" i="6"/>
  <c r="C52" i="6"/>
  <c r="C90" i="6"/>
  <c r="C82" i="6"/>
  <c r="C121" i="6"/>
  <c r="C113" i="6"/>
  <c r="C105" i="6"/>
  <c r="C97" i="6"/>
  <c r="C136" i="6"/>
  <c r="C128" i="6"/>
  <c r="C12" i="6"/>
  <c r="C31" i="6"/>
  <c r="C23" i="6"/>
  <c r="C49" i="6"/>
  <c r="C41" i="6"/>
  <c r="C75" i="6"/>
  <c r="C67" i="6"/>
  <c r="C59" i="6"/>
  <c r="C51" i="6"/>
  <c r="C89" i="6"/>
  <c r="C81" i="6"/>
  <c r="C120" i="6"/>
  <c r="C112" i="6"/>
  <c r="C104" i="6"/>
  <c r="C143" i="6"/>
  <c r="C135" i="6"/>
  <c r="C127" i="6"/>
  <c r="C11" i="6"/>
  <c r="C30" i="6"/>
  <c r="C22" i="6"/>
  <c r="C48" i="6"/>
  <c r="C40" i="6"/>
  <c r="C74" i="6"/>
  <c r="C66" i="6"/>
  <c r="C58" i="6"/>
  <c r="C96" i="6"/>
  <c r="C88" i="6"/>
  <c r="C80" i="6"/>
  <c r="C119" i="6"/>
  <c r="C111" i="6"/>
  <c r="C103" i="6"/>
  <c r="C142" i="6"/>
  <c r="C134" i="6"/>
  <c r="C126" i="6"/>
  <c r="K126" i="6" s="1"/>
  <c r="C10" i="6"/>
  <c r="C29" i="6"/>
  <c r="C21" i="6"/>
  <c r="C47" i="6"/>
  <c r="C39" i="6"/>
  <c r="C73" i="6"/>
  <c r="C65" i="6"/>
  <c r="C57" i="6"/>
  <c r="C95" i="6"/>
  <c r="C87" i="6"/>
  <c r="C79" i="6"/>
  <c r="C118" i="6"/>
  <c r="C110" i="6"/>
  <c r="C102" i="6"/>
  <c r="C141" i="6"/>
  <c r="C133" i="6"/>
  <c r="C125" i="6"/>
  <c r="C9" i="6"/>
  <c r="C28" i="6"/>
  <c r="C20" i="6"/>
  <c r="C46" i="6"/>
  <c r="C38" i="6"/>
  <c r="C72" i="6"/>
  <c r="C64" i="6"/>
  <c r="F64" i="6" s="1"/>
  <c r="C56" i="6"/>
  <c r="C94" i="6"/>
  <c r="C86" i="6"/>
  <c r="C78" i="6"/>
  <c r="C117" i="6"/>
  <c r="C109" i="6"/>
  <c r="C101" i="6"/>
  <c r="C140" i="6"/>
  <c r="C132" i="6"/>
  <c r="C124" i="6"/>
  <c r="C8" i="6"/>
  <c r="C27" i="6"/>
  <c r="C19" i="6"/>
  <c r="C45" i="6"/>
  <c r="C37" i="6"/>
  <c r="C71" i="6"/>
  <c r="C63" i="6"/>
  <c r="C55" i="6"/>
  <c r="C93" i="6"/>
  <c r="C85" i="6"/>
  <c r="C77" i="6"/>
  <c r="C116" i="6"/>
  <c r="C108" i="6"/>
  <c r="C100" i="6"/>
  <c r="C139" i="6"/>
  <c r="C131" i="6"/>
  <c r="G29" i="6"/>
  <c r="G26" i="6"/>
  <c r="G50" i="6"/>
  <c r="G74" i="6"/>
  <c r="G101" i="6"/>
  <c r="G35" i="6"/>
  <c r="G59" i="6"/>
  <c r="G83" i="6"/>
  <c r="G107" i="6"/>
  <c r="G20" i="6"/>
  <c r="G44" i="6"/>
  <c r="G68" i="6"/>
  <c r="G98" i="6"/>
  <c r="G116" i="6"/>
  <c r="G53" i="6"/>
  <c r="G77" i="6"/>
  <c r="G104" i="6"/>
  <c r="G38" i="6"/>
  <c r="G62" i="6"/>
  <c r="G89" i="6"/>
  <c r="G110" i="6"/>
  <c r="G23" i="6"/>
  <c r="H23" i="6" s="1"/>
  <c r="G47" i="6"/>
  <c r="G71" i="6"/>
  <c r="G95" i="6"/>
  <c r="G119" i="6"/>
  <c r="G32" i="6"/>
  <c r="G56" i="6"/>
  <c r="H56" i="6" s="1"/>
  <c r="G80" i="6"/>
  <c r="G86" i="6"/>
  <c r="G41" i="6"/>
  <c r="G65" i="6"/>
  <c r="G92" i="6"/>
  <c r="G113" i="6"/>
  <c r="L54" i="6"/>
  <c r="D80" i="6"/>
  <c r="M80" i="6" s="1"/>
  <c r="D119" i="6"/>
  <c r="M119" i="6" s="1"/>
  <c r="D98" i="6"/>
  <c r="M98" i="6" s="1"/>
  <c r="D26" i="6"/>
  <c r="F113" i="6"/>
  <c r="D77" i="6"/>
  <c r="M77" i="6" s="1"/>
  <c r="D35" i="6"/>
  <c r="M35" i="6" s="1"/>
  <c r="D32" i="6"/>
  <c r="M32" i="6" s="1"/>
  <c r="D59" i="6"/>
  <c r="D104" i="6"/>
  <c r="D107" i="6"/>
  <c r="M107" i="6" s="1"/>
  <c r="D50" i="6"/>
  <c r="M50" i="6" s="1"/>
  <c r="D23" i="6"/>
  <c r="D92" i="6"/>
  <c r="M92" i="6" s="1"/>
  <c r="D41" i="6"/>
  <c r="M41" i="6" s="1"/>
  <c r="D62" i="6"/>
  <c r="M62" i="6" s="1"/>
  <c r="D89" i="6"/>
  <c r="M89" i="6" s="1"/>
  <c r="D56" i="6"/>
  <c r="D101" i="6"/>
  <c r="D74" i="6"/>
  <c r="M74" i="6" s="1"/>
  <c r="D71" i="6"/>
  <c r="M71" i="6" s="1"/>
  <c r="D29" i="6"/>
  <c r="M29" i="6" s="1"/>
  <c r="D86" i="6"/>
  <c r="M86" i="6" s="1"/>
  <c r="D65" i="6"/>
  <c r="M65" i="6" s="1"/>
  <c r="D44" i="6"/>
  <c r="M44" i="6" s="1"/>
  <c r="D38" i="6"/>
  <c r="M38" i="6" s="1"/>
  <c r="D20" i="6"/>
  <c r="M20" i="6" s="1"/>
  <c r="D116" i="6"/>
  <c r="M116" i="6" s="1"/>
  <c r="D110" i="6"/>
  <c r="M110" i="6" s="1"/>
  <c r="D83" i="6"/>
  <c r="M83" i="6" s="1"/>
  <c r="D47" i="6"/>
  <c r="M47" i="6" s="1"/>
  <c r="D53" i="6"/>
  <c r="D95" i="6"/>
  <c r="D113" i="6"/>
  <c r="D10" i="6"/>
  <c r="M10" i="6" s="1"/>
  <c r="D11" i="6"/>
  <c r="M11" i="6" s="1"/>
  <c r="D142" i="6"/>
  <c r="M142" i="6" s="1"/>
  <c r="D134" i="6"/>
  <c r="M134" i="6" s="1"/>
  <c r="D126" i="6"/>
  <c r="D117" i="6"/>
  <c r="D105" i="6"/>
  <c r="M105" i="6" s="1"/>
  <c r="D93" i="6"/>
  <c r="M93" i="6" s="1"/>
  <c r="D81" i="6"/>
  <c r="M81" i="6" s="1"/>
  <c r="D69" i="6"/>
  <c r="M69" i="6" s="1"/>
  <c r="D57" i="6"/>
  <c r="M57" i="6" s="1"/>
  <c r="D45" i="6"/>
  <c r="D33" i="6"/>
  <c r="M33" i="6" s="1"/>
  <c r="D21" i="6"/>
  <c r="D141" i="6"/>
  <c r="D133" i="6"/>
  <c r="M133" i="6" s="1"/>
  <c r="D125" i="6"/>
  <c r="D115" i="6"/>
  <c r="M115" i="6" s="1"/>
  <c r="D103" i="6"/>
  <c r="M103" i="6" s="1"/>
  <c r="D91" i="6"/>
  <c r="M91" i="6" s="1"/>
  <c r="D79" i="6"/>
  <c r="D55" i="6"/>
  <c r="D43" i="6"/>
  <c r="M43" i="6" s="1"/>
  <c r="D31" i="6"/>
  <c r="M31" i="6" s="1"/>
  <c r="D19" i="6"/>
  <c r="M19" i="6" s="1"/>
  <c r="D9" i="6"/>
  <c r="M9" i="6" s="1"/>
  <c r="D140" i="6"/>
  <c r="M140" i="6" s="1"/>
  <c r="D132" i="6"/>
  <c r="M132" i="6" s="1"/>
  <c r="D124" i="6"/>
  <c r="M124" i="6" s="1"/>
  <c r="D114" i="6"/>
  <c r="M114" i="6" s="1"/>
  <c r="D102" i="6"/>
  <c r="M102" i="6" s="1"/>
  <c r="D90" i="6"/>
  <c r="M90" i="6" s="1"/>
  <c r="D78" i="6"/>
  <c r="M78" i="6" s="1"/>
  <c r="D66" i="6"/>
  <c r="M66" i="6" s="1"/>
  <c r="D54" i="6"/>
  <c r="N54" i="6" s="1"/>
  <c r="D42" i="6"/>
  <c r="M42" i="6" s="1"/>
  <c r="D30" i="6"/>
  <c r="M30" i="6" s="1"/>
  <c r="D18" i="6"/>
  <c r="M18" i="6" s="1"/>
  <c r="D8" i="6"/>
  <c r="M8" i="6" s="1"/>
  <c r="D139" i="6"/>
  <c r="D131" i="6"/>
  <c r="D123" i="6"/>
  <c r="M123" i="6" s="1"/>
  <c r="D112" i="6"/>
  <c r="M112" i="6" s="1"/>
  <c r="D100" i="6"/>
  <c r="M100" i="6" s="1"/>
  <c r="D88" i="6"/>
  <c r="M88" i="6" s="1"/>
  <c r="D76" i="6"/>
  <c r="D64" i="6"/>
  <c r="D52" i="6"/>
  <c r="D40" i="6"/>
  <c r="M40" i="6" s="1"/>
  <c r="D28" i="6"/>
  <c r="M28" i="6" s="1"/>
  <c r="D16" i="6"/>
  <c r="M16" i="6" s="1"/>
  <c r="D7" i="6"/>
  <c r="M7" i="6" s="1"/>
  <c r="D138" i="6"/>
  <c r="M138" i="6" s="1"/>
  <c r="D130" i="6"/>
  <c r="M130" i="6" s="1"/>
  <c r="D122" i="6"/>
  <c r="M122" i="6" s="1"/>
  <c r="D111" i="6"/>
  <c r="M111" i="6" s="1"/>
  <c r="D99" i="6"/>
  <c r="M99" i="6" s="1"/>
  <c r="D87" i="6"/>
  <c r="M87" i="6" s="1"/>
  <c r="D75" i="6"/>
  <c r="M75" i="6" s="1"/>
  <c r="D63" i="6"/>
  <c r="M63" i="6" s="1"/>
  <c r="D51" i="6"/>
  <c r="M51" i="6" s="1"/>
  <c r="D39" i="6"/>
  <c r="M39" i="6" s="1"/>
  <c r="D27" i="6"/>
  <c r="M27" i="6" s="1"/>
  <c r="D15" i="6"/>
  <c r="M15" i="6" s="1"/>
  <c r="D137" i="6"/>
  <c r="D129" i="6"/>
  <c r="D121" i="6"/>
  <c r="M121" i="6" s="1"/>
  <c r="D109" i="6"/>
  <c r="M109" i="6" s="1"/>
  <c r="D97" i="6"/>
  <c r="D85" i="6"/>
  <c r="D73" i="6"/>
  <c r="M73" i="6" s="1"/>
  <c r="D61" i="6"/>
  <c r="D49" i="6"/>
  <c r="D37" i="6"/>
  <c r="M37" i="6" s="1"/>
  <c r="D25" i="6"/>
  <c r="D13" i="6"/>
  <c r="M13" i="6" s="1"/>
  <c r="D136" i="6"/>
  <c r="M136" i="6" s="1"/>
  <c r="D128" i="6"/>
  <c r="M128" i="6" s="1"/>
  <c r="D120" i="6"/>
  <c r="D108" i="6"/>
  <c r="M108" i="6" s="1"/>
  <c r="D96" i="6"/>
  <c r="M96" i="6" s="1"/>
  <c r="D84" i="6"/>
  <c r="M84" i="6" s="1"/>
  <c r="D72" i="6"/>
  <c r="M72" i="6" s="1"/>
  <c r="D60" i="6"/>
  <c r="M60" i="6" s="1"/>
  <c r="D48" i="6"/>
  <c r="M48" i="6" s="1"/>
  <c r="D36" i="6"/>
  <c r="M36" i="6" s="1"/>
  <c r="D24" i="6"/>
  <c r="M24" i="6" s="1"/>
  <c r="D12" i="6"/>
  <c r="M12" i="6" s="1"/>
  <c r="D143" i="6"/>
  <c r="D135" i="6"/>
  <c r="M135" i="6" s="1"/>
  <c r="D127" i="6"/>
  <c r="D118" i="6"/>
  <c r="M118" i="6" s="1"/>
  <c r="D106" i="6"/>
  <c r="M106" i="6" s="1"/>
  <c r="D94" i="6"/>
  <c r="D82" i="6"/>
  <c r="M82" i="6" s="1"/>
  <c r="D70" i="6"/>
  <c r="M70" i="6" s="1"/>
  <c r="D58" i="6"/>
  <c r="M58" i="6" s="1"/>
  <c r="D46" i="6"/>
  <c r="D34" i="6"/>
  <c r="M34" i="6" s="1"/>
  <c r="D22" i="6"/>
  <c r="D6" i="6"/>
  <c r="M6" i="6" s="1"/>
  <c r="F25" i="6"/>
  <c r="G136" i="6"/>
  <c r="G45" i="6"/>
  <c r="G33" i="6"/>
  <c r="G21" i="6"/>
  <c r="H21" i="6" s="1"/>
  <c r="G93" i="6"/>
  <c r="G81" i="6"/>
  <c r="G69" i="6"/>
  <c r="G57" i="6"/>
  <c r="G134" i="6"/>
  <c r="G126" i="6"/>
  <c r="H126" i="6" s="1"/>
  <c r="G117" i="6"/>
  <c r="G105" i="6"/>
  <c r="G143" i="6"/>
  <c r="G43" i="6"/>
  <c r="G31" i="6"/>
  <c r="G19" i="6"/>
  <c r="G91" i="6"/>
  <c r="G79" i="6"/>
  <c r="G67" i="6"/>
  <c r="G55" i="6"/>
  <c r="H55" i="6" s="1"/>
  <c r="G133" i="6"/>
  <c r="G125" i="6"/>
  <c r="G115" i="6"/>
  <c r="G103" i="6"/>
  <c r="G142" i="6"/>
  <c r="G42" i="6"/>
  <c r="G30" i="6"/>
  <c r="G18" i="6"/>
  <c r="G90" i="6"/>
  <c r="G78" i="6"/>
  <c r="G66" i="6"/>
  <c r="G54" i="6"/>
  <c r="H54" i="6" s="1"/>
  <c r="G132" i="6"/>
  <c r="G124" i="6"/>
  <c r="G114" i="6"/>
  <c r="G102" i="6"/>
  <c r="G141" i="6"/>
  <c r="G40" i="6"/>
  <c r="G28" i="6"/>
  <c r="G16" i="6"/>
  <c r="G88" i="6"/>
  <c r="G76" i="6"/>
  <c r="G64" i="6"/>
  <c r="G52" i="6"/>
  <c r="G131" i="6"/>
  <c r="G123" i="6"/>
  <c r="G112" i="6"/>
  <c r="G100" i="6"/>
  <c r="G140" i="6"/>
  <c r="G8" i="6"/>
  <c r="G39" i="6"/>
  <c r="G27" i="6"/>
  <c r="G15" i="6"/>
  <c r="G87" i="6"/>
  <c r="G75" i="6"/>
  <c r="G63" i="6"/>
  <c r="G51" i="6"/>
  <c r="G130" i="6"/>
  <c r="G122" i="6"/>
  <c r="G111" i="6"/>
  <c r="G99" i="6"/>
  <c r="G139" i="6"/>
  <c r="G9" i="6"/>
  <c r="G37" i="6"/>
  <c r="G25" i="6"/>
  <c r="G13" i="6"/>
  <c r="G85" i="6"/>
  <c r="G73" i="6"/>
  <c r="G61" i="6"/>
  <c r="G49" i="6"/>
  <c r="G129" i="6"/>
  <c r="G121" i="6"/>
  <c r="G109" i="6"/>
  <c r="G97" i="6"/>
  <c r="G138" i="6"/>
  <c r="G10" i="6"/>
  <c r="G36" i="6"/>
  <c r="G24" i="6"/>
  <c r="G12" i="6"/>
  <c r="G84" i="6"/>
  <c r="G72" i="6"/>
  <c r="G60" i="6"/>
  <c r="G48" i="6"/>
  <c r="G128" i="6"/>
  <c r="G120" i="6"/>
  <c r="G108" i="6"/>
  <c r="G96" i="6"/>
  <c r="G137" i="6"/>
  <c r="G46" i="6"/>
  <c r="G34" i="6"/>
  <c r="G22" i="6"/>
  <c r="H22" i="6" s="1"/>
  <c r="G11" i="6"/>
  <c r="G82" i="6"/>
  <c r="G70" i="6"/>
  <c r="G58" i="6"/>
  <c r="G135" i="6"/>
  <c r="G127" i="6"/>
  <c r="H127" i="6" s="1"/>
  <c r="G118" i="6"/>
  <c r="G106" i="6"/>
  <c r="G94" i="6"/>
  <c r="G7" i="6"/>
  <c r="G6" i="6"/>
  <c r="M46" i="6" l="1"/>
  <c r="N46" i="6"/>
  <c r="M129" i="6"/>
  <c r="N129" i="6"/>
  <c r="M26" i="6"/>
  <c r="N26" i="6"/>
  <c r="M143" i="6"/>
  <c r="N143" i="6"/>
  <c r="M49" i="6"/>
  <c r="N49" i="6"/>
  <c r="M137" i="6"/>
  <c r="N137" i="6"/>
  <c r="M131" i="6"/>
  <c r="N131" i="6"/>
  <c r="M125" i="6"/>
  <c r="N125" i="6"/>
  <c r="M101" i="6"/>
  <c r="N101" i="6"/>
  <c r="M61" i="6"/>
  <c r="N61" i="6"/>
  <c r="M52" i="6"/>
  <c r="N52" i="6"/>
  <c r="M139" i="6"/>
  <c r="N139" i="6"/>
  <c r="M113" i="6"/>
  <c r="N113" i="6"/>
  <c r="M56" i="6"/>
  <c r="N56" i="6"/>
  <c r="M104" i="6"/>
  <c r="N104" i="6"/>
  <c r="M120" i="6"/>
  <c r="N120" i="6"/>
  <c r="M64" i="6"/>
  <c r="N64" i="6"/>
  <c r="M141" i="6"/>
  <c r="N141" i="6"/>
  <c r="M95" i="6"/>
  <c r="N95" i="6"/>
  <c r="M59" i="6"/>
  <c r="N59" i="6"/>
  <c r="M94" i="6"/>
  <c r="N94" i="6"/>
  <c r="M85" i="6"/>
  <c r="N85" i="6"/>
  <c r="M76" i="6"/>
  <c r="N76" i="6"/>
  <c r="M55" i="6"/>
  <c r="N55" i="6"/>
  <c r="M21" i="6"/>
  <c r="N21" i="6"/>
  <c r="M117" i="6"/>
  <c r="N117" i="6"/>
  <c r="M53" i="6"/>
  <c r="N53" i="6"/>
  <c r="M97" i="6"/>
  <c r="N97" i="6"/>
  <c r="M79" i="6"/>
  <c r="N79" i="6"/>
  <c r="M126" i="6"/>
  <c r="N126" i="6"/>
  <c r="M45" i="6"/>
  <c r="N45" i="6"/>
  <c r="M22" i="6"/>
  <c r="N22" i="6"/>
  <c r="M127" i="6"/>
  <c r="N127" i="6"/>
  <c r="M25" i="6"/>
  <c r="N25" i="6"/>
  <c r="M23" i="6"/>
  <c r="N23" i="6"/>
  <c r="O117" i="6"/>
  <c r="P117" i="6"/>
  <c r="F85" i="6"/>
  <c r="O85" i="6"/>
  <c r="P85" i="6"/>
  <c r="N71" i="6"/>
  <c r="O71" i="6"/>
  <c r="N57" i="6"/>
  <c r="O57" i="6"/>
  <c r="K117" i="6"/>
  <c r="O116" i="6"/>
  <c r="N116" i="6"/>
  <c r="K45" i="6"/>
  <c r="O45" i="6"/>
  <c r="P45" i="6"/>
  <c r="O109" i="6"/>
  <c r="N109" i="6"/>
  <c r="N38" i="6"/>
  <c r="O38" i="6"/>
  <c r="N102" i="6"/>
  <c r="O102" i="6"/>
  <c r="N73" i="6"/>
  <c r="O73" i="6"/>
  <c r="N142" i="6"/>
  <c r="O142" i="6"/>
  <c r="N66" i="6"/>
  <c r="O66" i="6"/>
  <c r="N135" i="6"/>
  <c r="O135" i="6"/>
  <c r="F59" i="6"/>
  <c r="H59" i="6" s="1"/>
  <c r="I59" i="6" s="1"/>
  <c r="O59" i="6"/>
  <c r="P59" i="6"/>
  <c r="N128" i="6"/>
  <c r="O128" i="6"/>
  <c r="F52" i="6"/>
  <c r="O52" i="6"/>
  <c r="P52" i="6"/>
  <c r="O13" i="6"/>
  <c r="N13" i="6"/>
  <c r="N91" i="6"/>
  <c r="O91" i="6"/>
  <c r="N33" i="6"/>
  <c r="O33" i="6"/>
  <c r="O84" i="6"/>
  <c r="N84" i="6"/>
  <c r="F26" i="6"/>
  <c r="H26" i="6" s="1"/>
  <c r="I26" i="6" s="1"/>
  <c r="O26" i="6"/>
  <c r="P26" i="6"/>
  <c r="N110" i="6"/>
  <c r="O110" i="6"/>
  <c r="N39" i="6"/>
  <c r="O39" i="6"/>
  <c r="N103" i="6"/>
  <c r="O103" i="6"/>
  <c r="N74" i="6"/>
  <c r="O74" i="6"/>
  <c r="P143" i="6"/>
  <c r="O143" i="6"/>
  <c r="N67" i="6"/>
  <c r="O67" i="6"/>
  <c r="N136" i="6"/>
  <c r="O136" i="6"/>
  <c r="O60" i="6"/>
  <c r="N60" i="6"/>
  <c r="F129" i="6"/>
  <c r="O129" i="6"/>
  <c r="P129" i="6"/>
  <c r="F53" i="6"/>
  <c r="H53" i="6" s="1"/>
  <c r="I53" i="6" s="1"/>
  <c r="O53" i="6"/>
  <c r="P53" i="6"/>
  <c r="N15" i="6"/>
  <c r="O15" i="6"/>
  <c r="O92" i="6"/>
  <c r="N92" i="6"/>
  <c r="N7" i="6"/>
  <c r="O7" i="6"/>
  <c r="N78" i="6"/>
  <c r="O78" i="6"/>
  <c r="O20" i="6"/>
  <c r="N20" i="6"/>
  <c r="N118" i="6"/>
  <c r="O118" i="6"/>
  <c r="N47" i="6"/>
  <c r="O47" i="6"/>
  <c r="N111" i="6"/>
  <c r="O111" i="6"/>
  <c r="N40" i="6"/>
  <c r="O40" i="6"/>
  <c r="F104" i="6"/>
  <c r="H104" i="6" s="1"/>
  <c r="I104" i="6" s="1"/>
  <c r="O104" i="6"/>
  <c r="P104" i="6"/>
  <c r="N75" i="6"/>
  <c r="O75" i="6"/>
  <c r="K97" i="6"/>
  <c r="O97" i="6"/>
  <c r="P97" i="6"/>
  <c r="O68" i="6"/>
  <c r="N68" i="6"/>
  <c r="F137" i="6"/>
  <c r="O137" i="6"/>
  <c r="P137" i="6"/>
  <c r="K61" i="6"/>
  <c r="O61" i="6"/>
  <c r="P61" i="6"/>
  <c r="N130" i="6"/>
  <c r="O130" i="6"/>
  <c r="K54" i="6"/>
  <c r="P54" i="6"/>
  <c r="O54" i="6"/>
  <c r="N6" i="6"/>
  <c r="O6" i="6"/>
  <c r="N27" i="6"/>
  <c r="O27" i="6"/>
  <c r="F21" i="6"/>
  <c r="O21" i="6"/>
  <c r="P21" i="6"/>
  <c r="N119" i="6"/>
  <c r="O119" i="6"/>
  <c r="N48" i="6"/>
  <c r="O48" i="6"/>
  <c r="N112" i="6"/>
  <c r="O112" i="6"/>
  <c r="N41" i="6"/>
  <c r="O41" i="6"/>
  <c r="N105" i="6"/>
  <c r="O105" i="6"/>
  <c r="N34" i="6"/>
  <c r="O34" i="6"/>
  <c r="N98" i="6"/>
  <c r="O98" i="6"/>
  <c r="O69" i="6"/>
  <c r="N69" i="6"/>
  <c r="N138" i="6"/>
  <c r="O138" i="6"/>
  <c r="N62" i="6"/>
  <c r="O62" i="6"/>
  <c r="N123" i="6"/>
  <c r="O123" i="6"/>
  <c r="N19" i="6"/>
  <c r="O19" i="6"/>
  <c r="K55" i="6"/>
  <c r="P55" i="6"/>
  <c r="O55" i="6"/>
  <c r="K94" i="6"/>
  <c r="P94" i="6"/>
  <c r="O94" i="6"/>
  <c r="N80" i="6"/>
  <c r="O80" i="6"/>
  <c r="F120" i="6"/>
  <c r="O120" i="6"/>
  <c r="P120" i="6"/>
  <c r="N42" i="6"/>
  <c r="O42" i="6"/>
  <c r="N106" i="6"/>
  <c r="O106" i="6"/>
  <c r="N35" i="6"/>
  <c r="O35" i="6"/>
  <c r="N99" i="6"/>
  <c r="O99" i="6"/>
  <c r="N70" i="6"/>
  <c r="O70" i="6"/>
  <c r="O77" i="6"/>
  <c r="N77" i="6"/>
  <c r="N86" i="6"/>
  <c r="O86" i="6"/>
  <c r="F131" i="6"/>
  <c r="O131" i="6"/>
  <c r="P131" i="6"/>
  <c r="O29" i="6"/>
  <c r="N29" i="6"/>
  <c r="K22" i="6"/>
  <c r="P22" i="6"/>
  <c r="O22" i="6"/>
  <c r="F49" i="6"/>
  <c r="O49" i="6"/>
  <c r="P49" i="6"/>
  <c r="O113" i="6"/>
  <c r="P113" i="6"/>
  <c r="K143" i="6"/>
  <c r="F139" i="6"/>
  <c r="O139" i="6"/>
  <c r="P139" i="6"/>
  <c r="N63" i="6"/>
  <c r="O63" i="6"/>
  <c r="O132" i="6"/>
  <c r="N132" i="6"/>
  <c r="F56" i="6"/>
  <c r="O56" i="6"/>
  <c r="P56" i="6"/>
  <c r="K125" i="6"/>
  <c r="O125" i="6"/>
  <c r="P125" i="6"/>
  <c r="F95" i="6"/>
  <c r="H95" i="6" s="1"/>
  <c r="I95" i="6" s="1"/>
  <c r="P95" i="6"/>
  <c r="O95" i="6"/>
  <c r="O10" i="6"/>
  <c r="N10" i="6"/>
  <c r="N88" i="6"/>
  <c r="O88" i="6"/>
  <c r="N30" i="6"/>
  <c r="O30" i="6"/>
  <c r="N81" i="6"/>
  <c r="O81" i="6"/>
  <c r="F23" i="6"/>
  <c r="P23" i="6"/>
  <c r="O23" i="6"/>
  <c r="N121" i="6"/>
  <c r="O121" i="6"/>
  <c r="N50" i="6"/>
  <c r="O50" i="6"/>
  <c r="N114" i="6"/>
  <c r="O114" i="6"/>
  <c r="N43" i="6"/>
  <c r="O43" i="6"/>
  <c r="N107" i="6"/>
  <c r="O107" i="6"/>
  <c r="O36" i="6"/>
  <c r="N36" i="6"/>
  <c r="O8" i="6"/>
  <c r="N8" i="6"/>
  <c r="K79" i="6"/>
  <c r="P79" i="6"/>
  <c r="O79" i="6"/>
  <c r="O124" i="6"/>
  <c r="N124" i="6"/>
  <c r="O100" i="6"/>
  <c r="N100" i="6"/>
  <c r="P126" i="6"/>
  <c r="O126" i="6"/>
  <c r="N96" i="6"/>
  <c r="O96" i="6"/>
  <c r="N11" i="6"/>
  <c r="O11" i="6"/>
  <c r="N89" i="6"/>
  <c r="O89" i="6"/>
  <c r="N31" i="6"/>
  <c r="O31" i="6"/>
  <c r="N82" i="6"/>
  <c r="O82" i="6"/>
  <c r="N24" i="6"/>
  <c r="O24" i="6"/>
  <c r="N122" i="6"/>
  <c r="O122" i="6"/>
  <c r="N16" i="6"/>
  <c r="O16" i="6"/>
  <c r="N115" i="6"/>
  <c r="O115" i="6"/>
  <c r="O44" i="6"/>
  <c r="N44" i="6"/>
  <c r="K46" i="6"/>
  <c r="P46" i="6"/>
  <c r="O46" i="6"/>
  <c r="O93" i="6"/>
  <c r="N93" i="6"/>
  <c r="O28" i="6"/>
  <c r="N28" i="6"/>
  <c r="O9" i="6"/>
  <c r="N9" i="6"/>
  <c r="N87" i="6"/>
  <c r="O87" i="6"/>
  <c r="O140" i="6"/>
  <c r="N140" i="6"/>
  <c r="O64" i="6"/>
  <c r="P64" i="6"/>
  <c r="O133" i="6"/>
  <c r="N133" i="6"/>
  <c r="O108" i="6"/>
  <c r="N108" i="6"/>
  <c r="O37" i="6"/>
  <c r="N37" i="6"/>
  <c r="F101" i="6"/>
  <c r="H101" i="6" s="1"/>
  <c r="I101" i="6" s="1"/>
  <c r="O101" i="6"/>
  <c r="P101" i="6"/>
  <c r="N72" i="6"/>
  <c r="O72" i="6"/>
  <c r="K141" i="6"/>
  <c r="O141" i="6"/>
  <c r="P141" i="6"/>
  <c r="N65" i="6"/>
  <c r="O65" i="6"/>
  <c r="N134" i="6"/>
  <c r="O134" i="6"/>
  <c r="N58" i="6"/>
  <c r="O58" i="6"/>
  <c r="K127" i="6"/>
  <c r="P127" i="6"/>
  <c r="O127" i="6"/>
  <c r="N51" i="6"/>
  <c r="O51" i="6"/>
  <c r="O12" i="6"/>
  <c r="N12" i="6"/>
  <c r="N90" i="6"/>
  <c r="O90" i="6"/>
  <c r="N32" i="6"/>
  <c r="O32" i="6"/>
  <c r="N83" i="6"/>
  <c r="O83" i="6"/>
  <c r="O25" i="6"/>
  <c r="P25" i="6"/>
  <c r="F76" i="6"/>
  <c r="O76" i="6"/>
  <c r="P76" i="6"/>
  <c r="N18" i="6"/>
  <c r="O18" i="6"/>
  <c r="M54" i="6"/>
  <c r="I14" i="6"/>
  <c r="J14" i="6" s="1"/>
  <c r="K95" i="6"/>
  <c r="F134" i="6"/>
  <c r="I2" i="6"/>
  <c r="J2" i="6" s="1"/>
  <c r="I3" i="6"/>
  <c r="J3" i="6" s="1"/>
  <c r="I4" i="6"/>
  <c r="J4" i="6" s="1"/>
  <c r="I5" i="6"/>
  <c r="J5" i="6" s="1"/>
  <c r="F142" i="6"/>
  <c r="K53" i="6"/>
  <c r="K26" i="6"/>
  <c r="K113" i="6"/>
  <c r="F7" i="6"/>
  <c r="I23" i="6"/>
  <c r="I56" i="6"/>
  <c r="H113" i="6"/>
  <c r="I113" i="6" s="1"/>
  <c r="K104" i="6"/>
  <c r="F114" i="6"/>
  <c r="H114" i="6" s="1"/>
  <c r="I114" i="6" s="1"/>
  <c r="F97" i="6"/>
  <c r="K59" i="6"/>
  <c r="K23" i="6"/>
  <c r="K101" i="6"/>
  <c r="K56" i="6"/>
  <c r="F117" i="6"/>
  <c r="F118" i="6"/>
  <c r="H118" i="6" s="1"/>
  <c r="I118" i="6" s="1"/>
  <c r="F83" i="6"/>
  <c r="H83" i="6" s="1"/>
  <c r="I83" i="6" s="1"/>
  <c r="F98" i="6"/>
  <c r="H98" i="6" s="1"/>
  <c r="I98" i="6" s="1"/>
  <c r="P98" i="6" s="1"/>
  <c r="F92" i="6"/>
  <c r="H92" i="6" s="1"/>
  <c r="I92" i="6" s="1"/>
  <c r="P92" i="6" s="1"/>
  <c r="F86" i="6"/>
  <c r="H86" i="6" s="1"/>
  <c r="I86" i="6" s="1"/>
  <c r="P86" i="6" s="1"/>
  <c r="F107" i="6"/>
  <c r="H107" i="6" s="1"/>
  <c r="I107" i="6" s="1"/>
  <c r="F77" i="6"/>
  <c r="H77" i="6" s="1"/>
  <c r="I77" i="6" s="1"/>
  <c r="F50" i="6"/>
  <c r="H50" i="6" s="1"/>
  <c r="I50" i="6" s="1"/>
  <c r="F80" i="6"/>
  <c r="H80" i="6" s="1"/>
  <c r="I80" i="6" s="1"/>
  <c r="F68" i="6"/>
  <c r="H68" i="6" s="1"/>
  <c r="I68" i="6" s="1"/>
  <c r="P68" i="6" s="1"/>
  <c r="F71" i="6"/>
  <c r="H71" i="6" s="1"/>
  <c r="I71" i="6" s="1"/>
  <c r="P71" i="6" s="1"/>
  <c r="F62" i="6"/>
  <c r="H62" i="6" s="1"/>
  <c r="I62" i="6" s="1"/>
  <c r="F74" i="6"/>
  <c r="H74" i="6" s="1"/>
  <c r="I74" i="6" s="1"/>
  <c r="F89" i="6"/>
  <c r="H89" i="6" s="1"/>
  <c r="I89" i="6" s="1"/>
  <c r="P89" i="6" s="1"/>
  <c r="F110" i="6"/>
  <c r="H110" i="6" s="1"/>
  <c r="I110" i="6" s="1"/>
  <c r="P110" i="6" s="1"/>
  <c r="F65" i="6"/>
  <c r="H65" i="6" s="1"/>
  <c r="I65" i="6" s="1"/>
  <c r="F119" i="6"/>
  <c r="H119" i="6" s="1"/>
  <c r="I119" i="6" s="1"/>
  <c r="F116" i="6"/>
  <c r="H116" i="6" s="1"/>
  <c r="I116" i="6" s="1"/>
  <c r="P116" i="6" s="1"/>
  <c r="F20" i="6"/>
  <c r="H20" i="6" s="1"/>
  <c r="I20" i="6" s="1"/>
  <c r="P20" i="6" s="1"/>
  <c r="F41" i="6"/>
  <c r="H41" i="6" s="1"/>
  <c r="I41" i="6" s="1"/>
  <c r="P41" i="6" s="1"/>
  <c r="F32" i="6"/>
  <c r="H32" i="6" s="1"/>
  <c r="I32" i="6" s="1"/>
  <c r="F35" i="6"/>
  <c r="H35" i="6" s="1"/>
  <c r="I35" i="6" s="1"/>
  <c r="P35" i="6" s="1"/>
  <c r="F29" i="6"/>
  <c r="H29" i="6" s="1"/>
  <c r="I29" i="6" s="1"/>
  <c r="P29" i="6" s="1"/>
  <c r="F44" i="6"/>
  <c r="H44" i="6" s="1"/>
  <c r="I44" i="6" s="1"/>
  <c r="P44" i="6" s="1"/>
  <c r="F38" i="6"/>
  <c r="H38" i="6" s="1"/>
  <c r="I38" i="6" s="1"/>
  <c r="F47" i="6"/>
  <c r="H47" i="6" s="1"/>
  <c r="I47" i="6" s="1"/>
  <c r="F126" i="6"/>
  <c r="I126" i="6" s="1"/>
  <c r="F33" i="6"/>
  <c r="H33" i="6" s="1"/>
  <c r="I33" i="6" s="1"/>
  <c r="F132" i="6"/>
  <c r="F36" i="6"/>
  <c r="H36" i="6" s="1"/>
  <c r="I36" i="6" s="1"/>
  <c r="F45" i="6"/>
  <c r="H45" i="6" s="1"/>
  <c r="I45" i="6" s="1"/>
  <c r="F140" i="6"/>
  <c r="H140" i="6" s="1"/>
  <c r="I140" i="6" s="1"/>
  <c r="F141" i="6"/>
  <c r="H141" i="6" s="1"/>
  <c r="I141" i="6" s="1"/>
  <c r="F43" i="6"/>
  <c r="H43" i="6" s="1"/>
  <c r="I43" i="6" s="1"/>
  <c r="F133" i="6"/>
  <c r="H133" i="6" s="1"/>
  <c r="I133" i="6" s="1"/>
  <c r="F112" i="6"/>
  <c r="H112" i="6" s="1"/>
  <c r="I112" i="6" s="1"/>
  <c r="F46" i="6"/>
  <c r="H46" i="6" s="1"/>
  <c r="I46" i="6" s="1"/>
  <c r="F100" i="6"/>
  <c r="H100" i="6" s="1"/>
  <c r="I100" i="6" s="1"/>
  <c r="F13" i="6"/>
  <c r="H13" i="6" s="1"/>
  <c r="I13" i="6" s="1"/>
  <c r="K21" i="6"/>
  <c r="K85" i="6"/>
  <c r="F96" i="6"/>
  <c r="H96" i="6" s="1"/>
  <c r="I96" i="6" s="1"/>
  <c r="F34" i="6"/>
  <c r="H34" i="6" s="1"/>
  <c r="I34" i="6" s="1"/>
  <c r="F88" i="6"/>
  <c r="H88" i="6" s="1"/>
  <c r="I88" i="6" s="1"/>
  <c r="H64" i="6"/>
  <c r="I64" i="6" s="1"/>
  <c r="F63" i="6"/>
  <c r="H63" i="6" s="1"/>
  <c r="I63" i="6" s="1"/>
  <c r="F69" i="6"/>
  <c r="H69" i="6" s="1"/>
  <c r="I69" i="6" s="1"/>
  <c r="F11" i="6"/>
  <c r="H11" i="6" s="1"/>
  <c r="I11" i="6" s="1"/>
  <c r="F125" i="6"/>
  <c r="H125" i="6" s="1"/>
  <c r="I125" i="6" s="1"/>
  <c r="F73" i="6"/>
  <c r="H73" i="6" s="1"/>
  <c r="I73" i="6" s="1"/>
  <c r="F108" i="6"/>
  <c r="H108" i="6" s="1"/>
  <c r="I108" i="6" s="1"/>
  <c r="F9" i="6"/>
  <c r="H9" i="6" s="1"/>
  <c r="I9" i="6" s="1"/>
  <c r="F10" i="6"/>
  <c r="H10" i="6" s="1"/>
  <c r="I10" i="6" s="1"/>
  <c r="F70" i="6"/>
  <c r="H70" i="6" s="1"/>
  <c r="I70" i="6" s="1"/>
  <c r="F122" i="6"/>
  <c r="H122" i="6" s="1"/>
  <c r="I122" i="6" s="1"/>
  <c r="F124" i="6"/>
  <c r="H124" i="6" s="1"/>
  <c r="I124" i="6" s="1"/>
  <c r="F58" i="6"/>
  <c r="H58" i="6" s="1"/>
  <c r="I58" i="6" s="1"/>
  <c r="F105" i="6"/>
  <c r="H105" i="6" s="1"/>
  <c r="I105" i="6" s="1"/>
  <c r="F93" i="6"/>
  <c r="H93" i="6" s="1"/>
  <c r="I93" i="6" s="1"/>
  <c r="F57" i="6"/>
  <c r="H57" i="6" s="1"/>
  <c r="I57" i="6" s="1"/>
  <c r="J57" i="6" s="1"/>
  <c r="K57" i="6" s="1"/>
  <c r="F22" i="6"/>
  <c r="I22" i="6" s="1"/>
  <c r="F84" i="6"/>
  <c r="H84" i="6" s="1"/>
  <c r="I84" i="6" s="1"/>
  <c r="F6" i="6"/>
  <c r="F37" i="6"/>
  <c r="H37" i="6" s="1"/>
  <c r="I37" i="6" s="1"/>
  <c r="F109" i="6"/>
  <c r="H109" i="6" s="1"/>
  <c r="I109" i="6" s="1"/>
  <c r="H76" i="6"/>
  <c r="I76" i="6" s="1"/>
  <c r="F102" i="6"/>
  <c r="H102" i="6" s="1"/>
  <c r="I102" i="6" s="1"/>
  <c r="F54" i="6"/>
  <c r="I54" i="6" s="1"/>
  <c r="H131" i="6"/>
  <c r="I131" i="6" s="1"/>
  <c r="F91" i="6"/>
  <c r="H91" i="6" s="1"/>
  <c r="I91" i="6" s="1"/>
  <c r="F19" i="6"/>
  <c r="H19" i="6" s="1"/>
  <c r="I19" i="6" s="1"/>
  <c r="F24" i="6"/>
  <c r="H24" i="6" s="1"/>
  <c r="I24" i="6" s="1"/>
  <c r="K139" i="6"/>
  <c r="K64" i="6"/>
  <c r="F55" i="6"/>
  <c r="I55" i="6" s="1"/>
  <c r="K129" i="6"/>
  <c r="F78" i="6"/>
  <c r="H78" i="6" s="1"/>
  <c r="I78" i="6" s="1"/>
  <c r="F15" i="6"/>
  <c r="H15" i="6" s="1"/>
  <c r="I15" i="6" s="1"/>
  <c r="H139" i="6"/>
  <c r="I139" i="6" s="1"/>
  <c r="H120" i="6"/>
  <c r="I120" i="6" s="1"/>
  <c r="F79" i="6"/>
  <c r="H79" i="6" s="1"/>
  <c r="I79" i="6" s="1"/>
  <c r="K120" i="6"/>
  <c r="F115" i="6"/>
  <c r="H115" i="6" s="1"/>
  <c r="I115" i="6" s="1"/>
  <c r="F128" i="6"/>
  <c r="H128" i="6" s="1"/>
  <c r="I128" i="6" s="1"/>
  <c r="F27" i="6"/>
  <c r="H27" i="6" s="1"/>
  <c r="I27" i="6" s="1"/>
  <c r="F106" i="6"/>
  <c r="H106" i="6" s="1"/>
  <c r="I106" i="6" s="1"/>
  <c r="F121" i="6"/>
  <c r="H121" i="6" s="1"/>
  <c r="I121" i="6" s="1"/>
  <c r="F82" i="6"/>
  <c r="H82" i="6" s="1"/>
  <c r="I82" i="6" s="1"/>
  <c r="F18" i="6"/>
  <c r="H18" i="6" s="1"/>
  <c r="I18" i="6" s="1"/>
  <c r="F31" i="6"/>
  <c r="H31" i="6" s="1"/>
  <c r="I31" i="6" s="1"/>
  <c r="F75" i="6"/>
  <c r="H75" i="6" s="1"/>
  <c r="I75" i="6" s="1"/>
  <c r="F81" i="6"/>
  <c r="H81" i="6" s="1"/>
  <c r="I81" i="6" s="1"/>
  <c r="K131" i="6"/>
  <c r="F94" i="6"/>
  <c r="H94" i="6" s="1"/>
  <c r="I94" i="6" s="1"/>
  <c r="F103" i="6"/>
  <c r="H103" i="6" s="1"/>
  <c r="I103" i="6" s="1"/>
  <c r="F16" i="6"/>
  <c r="H16" i="6" s="1"/>
  <c r="I16" i="6" s="1"/>
  <c r="K76" i="6"/>
  <c r="F90" i="6"/>
  <c r="H90" i="6" s="1"/>
  <c r="I90" i="6" s="1"/>
  <c r="F138" i="6"/>
  <c r="H138" i="6" s="1"/>
  <c r="I138" i="6" s="1"/>
  <c r="F8" i="6"/>
  <c r="H8" i="6" s="1"/>
  <c r="I8" i="6" s="1"/>
  <c r="F72" i="6"/>
  <c r="H72" i="6" s="1"/>
  <c r="I72" i="6" s="1"/>
  <c r="F12" i="6"/>
  <c r="H12" i="6" s="1"/>
  <c r="I12" i="6" s="1"/>
  <c r="F60" i="6"/>
  <c r="H60" i="6" s="1"/>
  <c r="I60" i="6" s="1"/>
  <c r="F130" i="6"/>
  <c r="H130" i="6" s="1"/>
  <c r="I130" i="6" s="1"/>
  <c r="F66" i="6"/>
  <c r="H66" i="6" s="1"/>
  <c r="I66" i="6" s="1"/>
  <c r="F40" i="6"/>
  <c r="H40" i="6" s="1"/>
  <c r="I40" i="6" s="1"/>
  <c r="K137" i="6"/>
  <c r="F87" i="6"/>
  <c r="H87" i="6" s="1"/>
  <c r="I87" i="6" s="1"/>
  <c r="F67" i="6"/>
  <c r="H67" i="6" s="1"/>
  <c r="I67" i="6" s="1"/>
  <c r="F48" i="6"/>
  <c r="H48" i="6" s="1"/>
  <c r="I48" i="6" s="1"/>
  <c r="F42" i="6"/>
  <c r="H42" i="6" s="1"/>
  <c r="I42" i="6" s="1"/>
  <c r="F143" i="6"/>
  <c r="H143" i="6" s="1"/>
  <c r="I143" i="6" s="1"/>
  <c r="K49" i="6"/>
  <c r="H137" i="6"/>
  <c r="I137" i="6" s="1"/>
  <c r="F28" i="6"/>
  <c r="H28" i="6" s="1"/>
  <c r="I28" i="6" s="1"/>
  <c r="F39" i="6"/>
  <c r="H39" i="6" s="1"/>
  <c r="I39" i="6" s="1"/>
  <c r="F61" i="6"/>
  <c r="H61" i="6" s="1"/>
  <c r="I61" i="6" s="1"/>
  <c r="F135" i="6"/>
  <c r="H135" i="6" s="1"/>
  <c r="I135" i="6" s="1"/>
  <c r="F111" i="6"/>
  <c r="H111" i="6" s="1"/>
  <c r="I111" i="6" s="1"/>
  <c r="H52" i="6"/>
  <c r="I52" i="6" s="1"/>
  <c r="F51" i="6"/>
  <c r="H51" i="6" s="1"/>
  <c r="I51" i="6" s="1"/>
  <c r="F30" i="6"/>
  <c r="H30" i="6" s="1"/>
  <c r="I30" i="6" s="1"/>
  <c r="K52" i="6"/>
  <c r="K25" i="6"/>
  <c r="F136" i="6"/>
  <c r="H136" i="6" s="1"/>
  <c r="I136" i="6" s="1"/>
  <c r="H49" i="6"/>
  <c r="I49" i="6" s="1"/>
  <c r="F127" i="6"/>
  <c r="I127" i="6" s="1"/>
  <c r="F99" i="6"/>
  <c r="H99" i="6" s="1"/>
  <c r="I99" i="6" s="1"/>
  <c r="F123" i="6"/>
  <c r="H123" i="6" s="1"/>
  <c r="I123" i="6" s="1"/>
  <c r="H97" i="6"/>
  <c r="I97" i="6" s="1"/>
  <c r="H117" i="6"/>
  <c r="I117" i="6" s="1"/>
  <c r="H129" i="6"/>
  <c r="I129" i="6" s="1"/>
  <c r="H85" i="6"/>
  <c r="I85" i="6" s="1"/>
  <c r="H25" i="6"/>
  <c r="I25" i="6" s="1"/>
  <c r="H142" i="6"/>
  <c r="I142" i="6" s="1"/>
  <c r="P142" i="6" s="1"/>
  <c r="H134" i="6"/>
  <c r="I134" i="6" s="1"/>
  <c r="I21" i="6"/>
  <c r="P107" i="6" l="1"/>
  <c r="P118" i="6"/>
  <c r="P51" i="6"/>
  <c r="P87" i="6"/>
  <c r="P93" i="6"/>
  <c r="P115" i="6"/>
  <c r="P96" i="6"/>
  <c r="P121" i="6"/>
  <c r="P10" i="6"/>
  <c r="P63" i="6"/>
  <c r="P67" i="6"/>
  <c r="P37" i="6"/>
  <c r="P24" i="6"/>
  <c r="P31" i="6"/>
  <c r="P124" i="6"/>
  <c r="P69" i="6"/>
  <c r="P105" i="6"/>
  <c r="P40" i="6"/>
  <c r="P47" i="6"/>
  <c r="P90" i="6"/>
  <c r="P72" i="6"/>
  <c r="P9" i="6"/>
  <c r="P36" i="6"/>
  <c r="P114" i="6"/>
  <c r="P106" i="6"/>
  <c r="P48" i="6"/>
  <c r="P78" i="6"/>
  <c r="P103" i="6"/>
  <c r="P91" i="6"/>
  <c r="P73" i="6"/>
  <c r="P38" i="6"/>
  <c r="P134" i="6"/>
  <c r="P16" i="6"/>
  <c r="P30" i="6"/>
  <c r="P70" i="6"/>
  <c r="P80" i="6"/>
  <c r="P27" i="6"/>
  <c r="P75" i="6"/>
  <c r="P15" i="6"/>
  <c r="P60" i="6"/>
  <c r="P128" i="6"/>
  <c r="P135" i="6"/>
  <c r="P18" i="6"/>
  <c r="P83" i="6"/>
  <c r="P65" i="6"/>
  <c r="P108" i="6"/>
  <c r="P140" i="6"/>
  <c r="P82" i="6"/>
  <c r="P88" i="6"/>
  <c r="P99" i="6"/>
  <c r="P19" i="6"/>
  <c r="P62" i="6"/>
  <c r="P130" i="6"/>
  <c r="P66" i="6"/>
  <c r="P109" i="6"/>
  <c r="P12" i="6"/>
  <c r="P28" i="6"/>
  <c r="P11" i="6"/>
  <c r="P50" i="6"/>
  <c r="P42" i="6"/>
  <c r="P138" i="6"/>
  <c r="P136" i="6"/>
  <c r="P74" i="6"/>
  <c r="P39" i="6"/>
  <c r="P84" i="6"/>
  <c r="P57" i="6"/>
  <c r="P58" i="6"/>
  <c r="P122" i="6"/>
  <c r="P100" i="6"/>
  <c r="P8" i="6"/>
  <c r="P81" i="6"/>
  <c r="P34" i="6"/>
  <c r="P111" i="6"/>
  <c r="P13" i="6"/>
  <c r="P32" i="6"/>
  <c r="P133" i="6"/>
  <c r="P43" i="6"/>
  <c r="P77" i="6"/>
  <c r="P123" i="6"/>
  <c r="P112" i="6"/>
  <c r="P119" i="6"/>
  <c r="P33" i="6"/>
  <c r="P102" i="6"/>
  <c r="H6" i="6"/>
  <c r="I6" i="6" s="1"/>
  <c r="P6" i="6" s="1"/>
  <c r="H132" i="6"/>
  <c r="I132" i="6" s="1"/>
  <c r="P132" i="6" s="1"/>
  <c r="H7" i="6"/>
  <c r="I7" i="6" s="1"/>
  <c r="P7" i="6" s="1"/>
  <c r="J117" i="6"/>
  <c r="J54" i="6"/>
  <c r="J99" i="6"/>
  <c r="K99" i="6" s="1"/>
  <c r="J129" i="6"/>
  <c r="J39" i="6"/>
  <c r="K39" i="6" s="1"/>
  <c r="J87" i="6"/>
  <c r="K87" i="6" s="1"/>
  <c r="J8" i="6"/>
  <c r="K8" i="6" s="1"/>
  <c r="J81" i="6"/>
  <c r="K81" i="6" s="1"/>
  <c r="J128" i="6"/>
  <c r="K128" i="6" s="1"/>
  <c r="J131" i="6"/>
  <c r="J22" i="6"/>
  <c r="J10" i="6"/>
  <c r="K10" i="6" s="1"/>
  <c r="J64" i="6"/>
  <c r="J46" i="6"/>
  <c r="J32" i="6"/>
  <c r="K32" i="6" s="1"/>
  <c r="J74" i="6"/>
  <c r="K74" i="6" s="1"/>
  <c r="J86" i="6"/>
  <c r="K86" i="6" s="1"/>
  <c r="J53" i="6"/>
  <c r="J28" i="6"/>
  <c r="K28" i="6" s="1"/>
  <c r="J9" i="6"/>
  <c r="K9" i="6" s="1"/>
  <c r="J88" i="6"/>
  <c r="K88" i="6" s="1"/>
  <c r="J112" i="6"/>
  <c r="K112" i="6" s="1"/>
  <c r="J33" i="6"/>
  <c r="K33" i="6" s="1"/>
  <c r="J41" i="6"/>
  <c r="K41" i="6" s="1"/>
  <c r="J62" i="6"/>
  <c r="K62" i="6" s="1"/>
  <c r="J92" i="6"/>
  <c r="K92" i="6" s="1"/>
  <c r="J56" i="6"/>
  <c r="J138" i="6"/>
  <c r="K138" i="6" s="1"/>
  <c r="J115" i="6"/>
  <c r="K115" i="6" s="1"/>
  <c r="J97" i="6"/>
  <c r="J137" i="6"/>
  <c r="J40" i="6"/>
  <c r="K40" i="6" s="1"/>
  <c r="J90" i="6"/>
  <c r="K90" i="6" s="1"/>
  <c r="J31" i="6"/>
  <c r="K31" i="6" s="1"/>
  <c r="J102" i="6"/>
  <c r="K102" i="6" s="1"/>
  <c r="J93" i="6"/>
  <c r="K93" i="6" s="1"/>
  <c r="J108" i="6"/>
  <c r="K108" i="6" s="1"/>
  <c r="J133" i="6"/>
  <c r="K133" i="6" s="1"/>
  <c r="J126" i="6"/>
  <c r="J20" i="6"/>
  <c r="K20" i="6" s="1"/>
  <c r="J71" i="6"/>
  <c r="K71" i="6" s="1"/>
  <c r="J98" i="6"/>
  <c r="K98" i="6" s="1"/>
  <c r="J21" i="6"/>
  <c r="J123" i="6"/>
  <c r="K123" i="6" s="1"/>
  <c r="J51" i="6"/>
  <c r="K51" i="6" s="1"/>
  <c r="J18" i="6"/>
  <c r="K18" i="6" s="1"/>
  <c r="J79" i="6"/>
  <c r="J76" i="6"/>
  <c r="J105" i="6"/>
  <c r="K105" i="6" s="1"/>
  <c r="J73" i="6"/>
  <c r="K73" i="6" s="1"/>
  <c r="J96" i="6"/>
  <c r="K96" i="6" s="1"/>
  <c r="J43" i="6"/>
  <c r="K43" i="6" s="1"/>
  <c r="J47" i="6"/>
  <c r="K47" i="6" s="1"/>
  <c r="J116" i="6"/>
  <c r="K116" i="6" s="1"/>
  <c r="J68" i="6"/>
  <c r="K68" i="6" s="1"/>
  <c r="J23" i="6"/>
  <c r="J30" i="6"/>
  <c r="K30" i="6" s="1"/>
  <c r="J34" i="6"/>
  <c r="K34" i="6" s="1"/>
  <c r="J104" i="6"/>
  <c r="J66" i="6"/>
  <c r="K66" i="6" s="1"/>
  <c r="J80" i="6"/>
  <c r="K80" i="6" s="1"/>
  <c r="J52" i="6"/>
  <c r="J130" i="6"/>
  <c r="K130" i="6" s="1"/>
  <c r="J120" i="6"/>
  <c r="J109" i="6"/>
  <c r="K109" i="6" s="1"/>
  <c r="J101" i="6"/>
  <c r="J127" i="6"/>
  <c r="J42" i="6"/>
  <c r="K42" i="6" s="1"/>
  <c r="J60" i="6"/>
  <c r="K60" i="6" s="1"/>
  <c r="J103" i="6"/>
  <c r="K103" i="6" s="1"/>
  <c r="J121" i="6"/>
  <c r="K121" i="6" s="1"/>
  <c r="J139" i="6"/>
  <c r="J24" i="6"/>
  <c r="K24" i="6" s="1"/>
  <c r="J37" i="6"/>
  <c r="K37" i="6" s="1"/>
  <c r="J124" i="6"/>
  <c r="K124" i="6" s="1"/>
  <c r="J11" i="6"/>
  <c r="K11" i="6" s="1"/>
  <c r="J140" i="6"/>
  <c r="K140" i="6" s="1"/>
  <c r="J44" i="6"/>
  <c r="K44" i="6" s="1"/>
  <c r="J65" i="6"/>
  <c r="K65" i="6" s="1"/>
  <c r="J50" i="6"/>
  <c r="K50" i="6" s="1"/>
  <c r="J59" i="6"/>
  <c r="J75" i="6"/>
  <c r="K75" i="6" s="1"/>
  <c r="J55" i="6"/>
  <c r="J83" i="6"/>
  <c r="K83" i="6" s="1"/>
  <c r="J134" i="6"/>
  <c r="K134" i="6" s="1"/>
  <c r="J143" i="6"/>
  <c r="J16" i="6"/>
  <c r="K16" i="6" s="1"/>
  <c r="J82" i="6"/>
  <c r="K82" i="6" s="1"/>
  <c r="J114" i="6"/>
  <c r="K114" i="6" s="1"/>
  <c r="J58" i="6"/>
  <c r="K58" i="6" s="1"/>
  <c r="J125" i="6"/>
  <c r="J141" i="6"/>
  <c r="J38" i="6"/>
  <c r="K38" i="6" s="1"/>
  <c r="J119" i="6"/>
  <c r="K119" i="6" s="1"/>
  <c r="J118" i="6"/>
  <c r="K118" i="6" s="1"/>
  <c r="J25" i="6"/>
  <c r="J12" i="6"/>
  <c r="K12" i="6" s="1"/>
  <c r="J106" i="6"/>
  <c r="K106" i="6" s="1"/>
  <c r="J15" i="6"/>
  <c r="K15" i="6" s="1"/>
  <c r="J19" i="6"/>
  <c r="K19" i="6" s="1"/>
  <c r="J122" i="6"/>
  <c r="K122" i="6" s="1"/>
  <c r="J69" i="6"/>
  <c r="K69" i="6" s="1"/>
  <c r="J13" i="6"/>
  <c r="K13" i="6" s="1"/>
  <c r="J45" i="6"/>
  <c r="J29" i="6"/>
  <c r="K29" i="6" s="1"/>
  <c r="J110" i="6"/>
  <c r="K110" i="6" s="1"/>
  <c r="J77" i="6"/>
  <c r="K77" i="6" s="1"/>
  <c r="J95" i="6"/>
  <c r="J26" i="6"/>
  <c r="J142" i="6"/>
  <c r="K142" i="6" s="1"/>
  <c r="J111" i="6"/>
  <c r="K111" i="6" s="1"/>
  <c r="J49" i="6"/>
  <c r="J135" i="6"/>
  <c r="K135" i="6" s="1"/>
  <c r="J48" i="6"/>
  <c r="K48" i="6" s="1"/>
  <c r="J94" i="6"/>
  <c r="J85" i="6"/>
  <c r="J136" i="6"/>
  <c r="K136" i="6" s="1"/>
  <c r="J61" i="6"/>
  <c r="J67" i="6"/>
  <c r="K67" i="6" s="1"/>
  <c r="J72" i="6"/>
  <c r="K72" i="6" s="1"/>
  <c r="J27" i="6"/>
  <c r="K27" i="6" s="1"/>
  <c r="J78" i="6"/>
  <c r="K78" i="6" s="1"/>
  <c r="J91" i="6"/>
  <c r="K91" i="6" s="1"/>
  <c r="J84" i="6"/>
  <c r="K84" i="6" s="1"/>
  <c r="J70" i="6"/>
  <c r="K70" i="6" s="1"/>
  <c r="J63" i="6"/>
  <c r="K63" i="6" s="1"/>
  <c r="J100" i="6"/>
  <c r="K100" i="6" s="1"/>
  <c r="J36" i="6"/>
  <c r="K36" i="6" s="1"/>
  <c r="J35" i="6"/>
  <c r="K35" i="6" s="1"/>
  <c r="J89" i="6"/>
  <c r="K89" i="6" s="1"/>
  <c r="J107" i="6"/>
  <c r="K107" i="6" s="1"/>
  <c r="J113" i="6"/>
  <c r="J7" i="6" l="1"/>
  <c r="K7" i="6" s="1"/>
  <c r="J132" i="6"/>
  <c r="K132" i="6" s="1"/>
  <c r="J6" i="6"/>
  <c r="K6" i="6" s="1"/>
</calcChain>
</file>

<file path=xl/sharedStrings.xml><?xml version="1.0" encoding="utf-8"?>
<sst xmlns="http://schemas.openxmlformats.org/spreadsheetml/2006/main" count="4653" uniqueCount="1177">
  <si>
    <t>DATE</t>
  </si>
  <si>
    <t>SERVICE</t>
  </si>
  <si>
    <t>COST $</t>
  </si>
  <si>
    <t>Plungers for toilets</t>
  </si>
  <si>
    <t>Doors of jacuzzis and roof pools – Jairo</t>
  </si>
  <si>
    <t>Chedraui</t>
  </si>
  <si>
    <t>Ph down</t>
  </si>
  <si>
    <t>Facial towels – mercado libre</t>
  </si>
  <si>
    <t>Cristal water</t>
  </si>
  <si>
    <t>Laundry</t>
  </si>
  <si>
    <t>Sellador for shower floor</t>
  </si>
  <si>
    <t>Jacuzzi Jairo</t>
  </si>
  <si>
    <t>Towels mercado libre</t>
  </si>
  <si>
    <t>Cloro Tulum pools</t>
  </si>
  <si>
    <t>Soap dispenser</t>
  </si>
  <si>
    <t>Spa vac Jairo (the one that was returned)</t>
  </si>
  <si>
    <t>Books Jamie Amazon</t>
  </si>
  <si>
    <t>Chedraui (toilet paper, soap..)</t>
  </si>
  <si>
    <t>Water cristal for both apts</t>
  </si>
  <si>
    <t>Coffee 1 kg for both apartments</t>
  </si>
  <si>
    <t>Soaps and trash bags for both apts</t>
  </si>
  <si>
    <t>20% over 850$ Jesus locksmith</t>
  </si>
  <si>
    <t>Fabric for 3 curtains 10.5mts (50$ / mt)</t>
  </si>
  <si>
    <t>Taylor – 3 curtains</t>
  </si>
  <si>
    <t>20% on curtains work – Katia (over 1725$)</t>
  </si>
  <si>
    <t>Lut reservation Aribnb for review</t>
  </si>
  <si>
    <t>20% on massage (1300$)</t>
  </si>
  <si>
    <t>Atv back light changed</t>
  </si>
  <si>
    <t>Atv 1 hour Katia</t>
  </si>
  <si>
    <t>Atv route of circulation</t>
  </si>
  <si>
    <t>20% over 1270$ - Katia</t>
  </si>
  <si>
    <t>20% over 1100$ - Katia</t>
  </si>
  <si>
    <t>Airbnb review</t>
  </si>
  <si>
    <t>Atv gas</t>
  </si>
  <si>
    <t>Water Cristal x 5</t>
  </si>
  <si>
    <t>Salt jacuzzi 25kg</t>
  </si>
  <si>
    <t>Prescription for Xanax</t>
  </si>
  <si>
    <t>Lexapro 2 boxes</t>
  </si>
  <si>
    <t>Xanax 6 boxes</t>
  </si>
  <si>
    <t>Envelopes for sending</t>
  </si>
  <si>
    <t>Gas to go to Playa</t>
  </si>
  <si>
    <t>Printing labels</t>
  </si>
  <si>
    <t>Tape</t>
  </si>
  <si>
    <t>4 hours time</t>
  </si>
  <si>
    <t>Vitamins</t>
  </si>
  <si>
    <t>Extra curtain – taylor work</t>
  </si>
  <si>
    <t>1 hour Lut invoice medicine + buying them</t>
  </si>
  <si>
    <t>20% over mirror (3500)</t>
  </si>
  <si>
    <t>Bicarbonato 2kg for pools</t>
  </si>
  <si>
    <t>Cloro tablets – Tulum pools</t>
  </si>
  <si>
    <t>Adjustment on some curtains</t>
  </si>
  <si>
    <t>Coffe machine</t>
  </si>
  <si>
    <t>Portable griller – Mercado libre (1469$+20%)</t>
  </si>
  <si>
    <t>20% Katia booking Mark Leonard (total 2325$)</t>
  </si>
  <si>
    <t>payment to booking % (Katia will pay it to booking)</t>
  </si>
  <si>
    <t>Acido muriatico for wc cleaning</t>
  </si>
  <si>
    <t>Booking mxn taxes payment</t>
  </si>
  <si>
    <t>Spa vac manual : tube + hose</t>
  </si>
  <si>
    <t>Spa vac manual : 3 heads brushes</t>
  </si>
  <si>
    <t>Water cristal x 3</t>
  </si>
  <si>
    <t>Replacement of 2 lights switch system lounge and main bedroom – Jairo</t>
  </si>
  <si>
    <t>New remote for c301 tv</t>
  </si>
  <si>
    <t>20% Katia over work for pipe wrenches and acs</t>
  </si>
  <si>
    <t>3 chargers for cables drinkable water pumps</t>
  </si>
  <si>
    <t>Pipes for empty and cleaning septic tank</t>
  </si>
  <si>
    <t>Katia 10 hours (lawyers, septic tank, locksmith...)</t>
  </si>
  <si>
    <t>Katia 20% over reservation booking Anton Zaglyadimov 29jul-2aug (total income 7751$)</t>
  </si>
  <si>
    <t>Atv extra for paper work plates</t>
  </si>
  <si>
    <t>Atv tarp mercado libre</t>
  </si>
  <si>
    <t>Water Cristal x 6</t>
  </si>
  <si>
    <t>Extra for sending atv plates to Tulum</t>
  </si>
  <si>
    <t>jacuzzi and pools cleaning - Efraim</t>
  </si>
  <si>
    <t>Water Cristal</t>
  </si>
  <si>
    <t>Cleaning jacuzzis and pools – Efraim</t>
  </si>
  <si>
    <t>Katia 11 working hours</t>
  </si>
  <si>
    <t>Tickets to Cozumel</t>
  </si>
  <si>
    <t>Copy of atv circulation card + screws for plates + 3 boxes for charging</t>
  </si>
  <si>
    <t>Memory foam for king size bed – Amazon (+20%)</t>
  </si>
  <si>
    <t>Memory foam for king size bed – Mercado Libre (+20%)</t>
  </si>
  <si>
    <t>Katia 3 hours time with lawyer and so</t>
  </si>
  <si>
    <t>5 lockboxes</t>
  </si>
  <si>
    <t>Ph liquid - / 2 bottles</t>
  </si>
  <si>
    <t>20% over Atv work</t>
  </si>
  <si>
    <t>Expresso jar</t>
  </si>
  <si>
    <t>Gignet paid Katia</t>
  </si>
  <si>
    <t>Carpinter work on c301 (change base wood of bedroom door, reinforce it with a wood outside,</t>
  </si>
  <si>
    <t>Carpinter work on c301(fix the filtration from living room doors)</t>
  </si>
  <si>
    <t>20% Katia over carpinter work</t>
  </si>
  <si>
    <t>2 memory foam king size</t>
  </si>
  <si>
    <t>Katia 10 hours</t>
  </si>
  <si>
    <t>New deep pocket sheets and towels hotel quality, 6 sets of king size sheets + 4 big towels</t>
  </si>
  <si>
    <t>Coffee 1 kg</t>
  </si>
  <si>
    <t>Kitchen stuff (cooking oil, salt, sugar, coffee) + broom and mop</t>
  </si>
  <si>
    <t>Jacuzzi salt – Tulum pools 25kg</t>
  </si>
  <si>
    <t>Vacuum for cleaning</t>
  </si>
  <si>
    <t>Katia 7 hours – Expedia and few other staff</t>
  </si>
  <si>
    <t>Katia 20% over work 3d videos – German</t>
  </si>
  <si>
    <t>3 Contactores 2 Polos 120v 40 Amp Refrigeracion Aire Acondicionado – Mercado Libre (backup)</t>
  </si>
  <si>
    <t>2 heating elements / resistencias jacuzzis (backup) – amazon: https://www.amazon.com.mx/HydroQuip-calefactor-accesorios-calentadores-el%C3%A9ctricos/dp/B079J5RJF5/ref=sr_1_1?crid=39MOMN31ZW1L9&amp;keywords=hydroquip+elemento+calefactor+universal+flo-thru&amp;qid=1645583688&amp;sprefix=hydroquip+%2Caps%2C485&amp;sr=8-1</t>
  </si>
  <si>
    <t>Tulum pools – 25kg salt for jacuzzis + 3 bottles ph- liquid for cleaning filters</t>
  </si>
  <si>
    <t>Limpiador de contactos – Specialist – WD-40 – amazon</t>
  </si>
  <si>
    <t>Kleenex 16 boxes in total</t>
  </si>
  <si>
    <t>Sinchos</t>
  </si>
  <si>
    <t>Light bulbs led new for apts</t>
  </si>
  <si>
    <t>Ronny donation</t>
  </si>
  <si>
    <t>Check water pressure apts - Jairo</t>
  </si>
  <si>
    <t>Change light apts – Efraim</t>
  </si>
  <si>
    <t>Shampoo, conditioner and soap dispensers x 5 units – Amazon</t>
  </si>
  <si>
    <t>Katia 6 hours for Expedia</t>
  </si>
  <si>
    <t>Shampoo + conditioner – coconamor</t>
  </si>
  <si>
    <t>Shampoo bergamota mercado libre 10lts – Marina</t>
  </si>
  <si>
    <t>Conditioner mercado libre</t>
  </si>
  <si>
    <t>6 light bulbs leds for apts – mercado libre</t>
  </si>
  <si>
    <t>100USD extra for 3d videos + 20%</t>
  </si>
  <si>
    <t>Varnish Polyfrom 11000 6 lts, brushes, tint for doors, 3paint rollers</t>
  </si>
  <si>
    <t>Water Cristal 4 jars + tip to guy</t>
  </si>
  <si>
    <t>Paint Vinimex Antibacterial Blanco mate 19lt</t>
  </si>
  <si>
    <t>Cleaner for wood furniture x 3 units– Chedraui</t>
  </si>
  <si>
    <t>Atv insurance 20% Katia</t>
  </si>
  <si>
    <t>Katia 4 hours time</t>
  </si>
  <si>
    <t>Water Cristal 5 jars + tip for bringing them up</t>
  </si>
  <si>
    <t>Atv – new rin for fron left wheel + work (+20% Katia)</t>
  </si>
  <si>
    <t>Laundrys</t>
  </si>
  <si>
    <t>Transfer Stephanie Roy 1 way (130USD)</t>
  </si>
  <si>
    <t>Batteries for smoke detector (some extra to have in storage)</t>
  </si>
  <si>
    <t>Fridge water pump fixe x 2</t>
  </si>
  <si>
    <t>Chedraui 3 apts</t>
  </si>
  <si>
    <t>Wits &amp; wagers table game – amazon – cancellation cost</t>
  </si>
  <si>
    <t>Coffee 1kg</t>
  </si>
  <si>
    <t>Electric water dispenses for a302S</t>
  </si>
  <si>
    <t>Natural dishwasher packs x 5 bags</t>
  </si>
  <si>
    <t>Katia 4 hours</t>
  </si>
  <si>
    <t>9 sockets for lights on terraces + 9 light bulbs</t>
  </si>
  <si>
    <t>Change lights sockets for terraces (9 total) – Jose</t>
  </si>
  <si>
    <t>3 new heating elements for having in storage – amazon</t>
  </si>
  <si>
    <t>Change water pump jacuzzi c301S – Jairo</t>
  </si>
  <si>
    <t>3 contactores for storage – mercado libre</t>
  </si>
  <si>
    <t>Round trip transfer Fred Laurena 2-7 march</t>
  </si>
  <si>
    <t>Jairo - check fridge pump</t>
  </si>
  <si>
    <t>Katia 5 hours</t>
  </si>
  <si>
    <t>Water cristal</t>
  </si>
  <si>
    <t>Tint for face towels</t>
  </si>
  <si>
    <t>Round trip transfer service for Fred Laurena</t>
  </si>
  <si>
    <t>Round trip transfer service for Hartman Limor</t>
  </si>
  <si>
    <t>8 new memory foams pillows for apts - amazon</t>
  </si>
  <si>
    <t>Silicon + gun</t>
  </si>
  <si>
    <t>Laundry c301</t>
  </si>
  <si>
    <t>Katia 4 hrs</t>
  </si>
  <si>
    <t>Gas to Playa</t>
  </si>
  <si>
    <t>6 Carpets for apts - mercado libre</t>
  </si>
  <si>
    <t>Scumbug x 8 crab figure</t>
  </si>
  <si>
    <t>Change piece upstairs wc a302 - Jairo</t>
  </si>
  <si>
    <t>Cloro for pools</t>
  </si>
  <si>
    <t>Jesus - lock to 4 doors</t>
  </si>
  <si>
    <t>Magnets fridge 5stars review x 5 units</t>
  </si>
  <si>
    <t>Atv</t>
  </si>
  <si>
    <t>Katia 3 hrs</t>
  </si>
  <si>
    <t>Water cristal x 5 + 50$ tip</t>
  </si>
  <si>
    <t>Savana travel - send curtains rod back</t>
  </si>
  <si>
    <t>Tip to water guy</t>
  </si>
  <si>
    <t>7 jars 25lts water + bringing them up</t>
  </si>
  <si>
    <t>6 wooden chairs fixed + transported to Intima</t>
  </si>
  <si>
    <t>Katia 2 hrs to go over 20% airbnb past</t>
  </si>
  <si>
    <t>Katia 2 hrs</t>
  </si>
  <si>
    <t>Water cristal + bring them up</t>
  </si>
  <si>
    <t>change rooftop pool pump a302</t>
  </si>
  <si>
    <t>ATV pieces replacement</t>
  </si>
  <si>
    <t>ATV work to fix it</t>
  </si>
  <si>
    <t>Tulum pools</t>
  </si>
  <si>
    <t>Chain + lock for atv</t>
  </si>
  <si>
    <t>Atv renew route permit 2023 + send it to Tulum</t>
  </si>
  <si>
    <t>Atv - pipe that goes into gasoline got broken, replaced + transport to the workshop</t>
  </si>
  <si>
    <t>batteries for smoke detectors</t>
  </si>
  <si>
    <t>Katia hours</t>
  </si>
  <si>
    <t>Amazon - 6 heating elements replacements for jacuzzis placed in storages</t>
  </si>
  <si>
    <t>Katia time</t>
  </si>
  <si>
    <t>Water cristal + bringing them up tip</t>
  </si>
  <si>
    <t>Blue bins for apts</t>
  </si>
  <si>
    <t>Prints sat + usb</t>
  </si>
  <si>
    <t>Amazon - cable high temperature for jacuzzi 10mts</t>
  </si>
  <si>
    <t>Booking fee</t>
  </si>
  <si>
    <t>Microswitch mod. Jag-4 - Bruni ferreteria x 2 pieces</t>
  </si>
  <si>
    <t>Mercado libre - terminales for jacuzzis</t>
  </si>
  <si>
    <t>Katia hrs</t>
  </si>
  <si>
    <t>Pools &amp; jacuzzis cloro products - Tulum pools</t>
  </si>
  <si>
    <t>Net + tube + new hose for cleaning jacuzzi + 2brushes - Tulum pools</t>
  </si>
  <si>
    <t>Cleaning 2 pools + 4 jacuzzis - Jose Manuel</t>
  </si>
  <si>
    <t>Atv fee for brining it to intima from Playa (insurance qualitas)</t>
  </si>
  <si>
    <t>Katia 6 hrs</t>
  </si>
  <si>
    <t>Amazon - 8 timers for jacuzzis&amp;pools pumps , digital termomether</t>
  </si>
  <si>
    <t>Water Cristal x 7 jars</t>
  </si>
  <si>
    <t>Cafe 2kg</t>
  </si>
  <si>
    <t>Roku x 3</t>
  </si>
  <si>
    <t>Helmets x 2</t>
  </si>
  <si>
    <t>Water cristal x 4 + tip to bring them up</t>
  </si>
  <si>
    <t>Fuse x 4 pieces for jacuzzis</t>
  </si>
  <si>
    <t>Print + plastify instructions jacuzzi</t>
  </si>
  <si>
    <t>Chargers for electric drinkable water pumps</t>
  </si>
  <si>
    <t>Body soap 10lts, cleaning supplies - Acropolis</t>
  </si>
  <si>
    <t>Toilet paper + kitchen paper</t>
  </si>
  <si>
    <t>Acido para limpieza</t>
  </si>
  <si>
    <t>Tulum pools - cloro + salt</t>
  </si>
  <si>
    <t>kitchen paper + toilet paper</t>
  </si>
  <si>
    <t>Water Cristal x 3 + tip to bring them up</t>
  </si>
  <si>
    <t>sarricida 5lts</t>
  </si>
  <si>
    <t>light bulbs for salt lamps, milk powder x 5 units</t>
  </si>
  <si>
    <t>Water cristal x 4</t>
  </si>
  <si>
    <t>Tulum pools cloro tablets</t>
  </si>
  <si>
    <t>Water cristal x 4 + bring them up</t>
  </si>
  <si>
    <t>Chedraui (AAA batteries, trash bags, vinegar, toilet paper, kitchen paper, cleaning products for apts)</t>
  </si>
  <si>
    <t>Driving licenses renewal</t>
  </si>
  <si>
    <t>Water x 3 jars</t>
  </si>
  <si>
    <t>New diferential switch and load centre for jacuzzi b303 - promessa</t>
  </si>
  <si>
    <t>Fix hot tub board - have it as a backup</t>
  </si>
  <si>
    <t>Salt for jacuzzi</t>
  </si>
  <si>
    <t>4 jars water + bringing them up</t>
  </si>
  <si>
    <t>Fix tv b303</t>
  </si>
  <si>
    <t>2 trips to Playa to bring and take Tv back</t>
  </si>
  <si>
    <t>Renewal circulation card ATV 2024 + shipping to Tulum</t>
  </si>
  <si>
    <t>Tarp for Vento scooter</t>
  </si>
  <si>
    <t>Atv repair spark plug head and spark plug</t>
  </si>
  <si>
    <t>Print atv insurance + plastic envelope for it</t>
  </si>
  <si>
    <t>Water jars</t>
  </si>
  <si>
    <t>Repair Atv</t>
  </si>
  <si>
    <t>Bring moto to the hotel + fill gas tank</t>
  </si>
  <si>
    <t>Scooter Vento plates + circulation card 2024</t>
  </si>
  <si>
    <t>water jars</t>
  </si>
  <si>
    <t>print scooter insurance + plastic envelope for it</t>
  </si>
  <si>
    <t>Coffee x apts 2kg</t>
  </si>
  <si>
    <t>Batteries for ac remotes</t>
  </si>
  <si>
    <t>Cloro + salt for jac and pools</t>
  </si>
  <si>
    <t>dishwater tablets</t>
  </si>
  <si>
    <t>New battery for scooter Vento</t>
  </si>
  <si>
    <t>Filter jacuzzis and pools x 4 pieces - amazon</t>
  </si>
  <si>
    <t>Change of 2 upstairs toilette's valves</t>
  </si>
  <si>
    <t>water jars + bringing them up</t>
  </si>
  <si>
    <t>Fix tv b303 + gas and time to bring it and back to Playa</t>
  </si>
  <si>
    <t>Cleaning a302</t>
  </si>
  <si>
    <t>Prints and usb for SAT appointment</t>
  </si>
  <si>
    <t>Batteries for eufys AA6</t>
  </si>
  <si>
    <t>Locks doors b303 - Jesus</t>
  </si>
  <si>
    <t>trip to Cancun airport to try get Natalia out from migration</t>
  </si>
  <si>
    <t>Accountant - modification of residency in Jamie's residency docs</t>
  </si>
  <si>
    <t>Dhl shipment of document for receiving paint</t>
  </si>
  <si>
    <t>Wood glue</t>
  </si>
  <si>
    <t>Money sent to hsbc Jamie account to pay Expedia</t>
  </si>
  <si>
    <t>Extra sunchair rope changed</t>
  </si>
  <si>
    <t>new cable for drinkable water pump b303</t>
  </si>
  <si>
    <t>water jars + bringing them up c301</t>
  </si>
  <si>
    <t>water jars + bringing them up a302</t>
  </si>
  <si>
    <t>Amazon - clorinie floats + fridge water dispenser</t>
  </si>
  <si>
    <t>booking commission paid</t>
  </si>
  <si>
    <t>b303 jac cleaned</t>
  </si>
  <si>
    <t>drain tube for jacuzzi b303</t>
  </si>
  <si>
    <t>Prints tags for jacuzzis &amp; pools + plastify them</t>
  </si>
  <si>
    <t>changing hinges and closures of jacuzzi and pool doors - work</t>
  </si>
  <si>
    <t>new pillows exterior covers for balconies chairs</t>
  </si>
  <si>
    <t>Labels for shampoo/conditioner/bodywash dispenser</t>
  </si>
  <si>
    <t>Booking November commission paid (Fernando Sauri reservation)</t>
  </si>
  <si>
    <t>Water jars x 6 + bringing them up</t>
  </si>
  <si>
    <t>Repair kitchen drawer and bathroom drawer</t>
  </si>
  <si>
    <t>Air mattress and electric pump</t>
  </si>
  <si>
    <t>Telcel recharge Natalia mex number</t>
  </si>
  <si>
    <t>New washing machine tub</t>
  </si>
  <si>
    <t>Medicine for Jamie friend</t>
  </si>
  <si>
    <t>Honey</t>
  </si>
  <si>
    <t>Moto service</t>
  </si>
  <si>
    <t>motorcycle registration card renewal 2025</t>
  </si>
  <si>
    <t>Repair washingmachine (just costs of new pieces replaced)</t>
  </si>
  <si>
    <t>Printouts for processing name change of property document b303</t>
  </si>
  <si>
    <t>Payment for processing name change of property document b303</t>
  </si>
  <si>
    <t>Payment for processing Cedula Catastral document</t>
  </si>
  <si>
    <t>Cloro tablets</t>
  </si>
  <si>
    <t>spare part for jacuzzi pump</t>
  </si>
  <si>
    <t>New filters for jacuzzis and pool</t>
  </si>
  <si>
    <t>Hcq 100 tablets</t>
  </si>
  <si>
    <t>Acido tranexamico 6 bottles</t>
  </si>
  <si>
    <t>4 contactores replacements for jacuzis</t>
  </si>
  <si>
    <t>Replace pool water inlet valve</t>
  </si>
  <si>
    <t>Scooter service</t>
  </si>
  <si>
    <t>Batteries AA for eufys, toilet paper and kitchen papers</t>
  </si>
  <si>
    <t>Scooter circulation card 2026 renewal</t>
  </si>
  <si>
    <t>Traumeel cream x 2</t>
  </si>
  <si>
    <t>New motorcycle stand and battery fuse</t>
  </si>
  <si>
    <t>Heating elements Amazon x 4 pieces - stock</t>
  </si>
  <si>
    <t>Tulum pools - new lead for jacuzzi pump</t>
  </si>
  <si>
    <t>Chedraui for apts</t>
  </si>
  <si>
    <t>Insurance scooter - Qualitas</t>
  </si>
  <si>
    <t>2 heating elements - new</t>
  </si>
  <si>
    <t>New battery for scooter</t>
  </si>
  <si>
    <t>Cloro tabs for jacuzzis and pools - Tulum pools</t>
  </si>
  <si>
    <t>Customs payment for Traumeel</t>
  </si>
  <si>
    <t>Filter for jacuzzis and pool 4 pieces</t>
  </si>
  <si>
    <t>Chedraui supermarket for apts</t>
  </si>
  <si>
    <t>Shampoo and body wash 20lt</t>
  </si>
  <si>
    <t>A302</t>
  </si>
  <si>
    <t>B303</t>
  </si>
  <si>
    <t>C301</t>
  </si>
  <si>
    <t>Cleaning</t>
  </si>
  <si>
    <t>Cover blanket</t>
  </si>
  <si>
    <t>Tiles shower Luis</t>
  </si>
  <si>
    <t>Cleaning 2 rooms</t>
  </si>
  <si>
    <t>Laundry 2 rooms</t>
  </si>
  <si>
    <t>Scumbug (4 sponges) Amazon</t>
  </si>
  <si>
    <t>Toilet (stucked) – Jose plumber Intima</t>
  </si>
  <si>
    <t>Boiler – manteinance + cleaning – Jairo</t>
  </si>
  <si>
    <t>Cleaning s</t>
  </si>
  <si>
    <t>Toilet paper and sponges for s</t>
  </si>
  <si>
    <t>Cleaning – 1 bedroom</t>
  </si>
  <si>
    <t>Jacuzzi pump surface – Luis</t>
  </si>
  <si>
    <t>toilet button system replaced - Jairo</t>
  </si>
  <si>
    <t>A/C manteinance – Oscar</t>
  </si>
  <si>
    <t>Cleaning refresh</t>
  </si>
  <si>
    <t>Laundry s</t>
  </si>
  <si>
    <t>Cleaning 2 bedrooms</t>
  </si>
  <si>
    <t>Laundry 2 bedrooms</t>
  </si>
  <si>
    <t>Office chair for</t>
  </si>
  <si>
    <t>Refresh cleaning for</t>
  </si>
  <si>
    <t>Mirror for</t>
  </si>
  <si>
    <t>Raid for bugs</t>
  </si>
  <si>
    <t>Bug spray for</t>
  </si>
  <si>
    <t>New water pump for jacuzzi – Aqua Pak Silver 115V 1hp</t>
  </si>
  <si>
    <t>Water Cristal x 2</t>
  </si>
  <si>
    <t>Glass jar blender</t>
  </si>
  <si>
    <t>Termites treatment door</t>
  </si>
  <si>
    <t>Cleaning 1 bed</t>
  </si>
  <si>
    <t>White paint for jacuzzi S+solvent+2brushes</t>
  </si>
  <si>
    <t>Scratching jacuzzi S+repaint it – Luis</t>
  </si>
  <si>
    <t>Katia 20% over work on jacuzzi S</t>
  </si>
  <si>
    <t>Fix base of big door on leaking – work Luis</t>
  </si>
  <si>
    <t>Fix base of big door on leaking – material – Luis</t>
  </si>
  <si>
    <t>Katia 20% over work on base door</t>
  </si>
  <si>
    <t>Katia 20% over termites and insects treatment</t>
  </si>
  <si>
    <t>Gignet 20% Katia</t>
  </si>
  <si>
    <t>Box jacuzzi remake “definitive” - Luis - material</t>
  </si>
  <si>
    <t>Box jacuzzi remake “definitive” - Luis – work</t>
  </si>
  <si>
    <t>Box jacuzzi remake “definitive” - Luis – Katia 20% over total</t>
  </si>
  <si>
    <t>Water Cristal for (3 new jars + 2 refill)</t>
  </si>
  <si>
    <t>Water Cristal (+)</t>
  </si>
  <si>
    <t>Silicon + W40 for doors</t>
  </si>
  <si>
    <t>Jairo maintenance dishwasher + door jacuzzi</t>
  </si>
  <si>
    <t>Chedraui – cleaning products, papers, other stuff for</t>
  </si>
  <si>
    <t>Deep cleaning of , including cleaning of couches</t>
  </si>
  <si>
    <t>AC – Jairo</t>
  </si>
  <si>
    <t>New pump rooftop pool – Belle pool tulum</t>
  </si>
  <si>
    <t>New pump rooftop pool – Mercado Libre</t>
  </si>
  <si>
    <t>Katia 20% over work new pump rooftop pool</t>
  </si>
  <si>
    <t>Chedraui for - trashcan, dryer for dishes, 4 extra big towels</t>
  </si>
  <si>
    <t>Tulum pools for</t>
  </si>
  <si>
    <t>Blender lid (complete) for</t>
  </si>
  <si>
    <t>Cleaning 2bedrooms</t>
  </si>
  <si>
    <t>Ph – liquid 5lts for cleaning jacuzzi</t>
  </si>
  <si>
    <t>Cleaning tiles of jacuzzi – Efraim</t>
  </si>
  <si>
    <t>Ac – Oscar</t>
  </si>
  <si>
    <t>Scratching+painting Jacuzzi &amp; rooftop pool – Luis (3 people)</t>
  </si>
  <si>
    <t>20% Katia over work on jacuzzi and rooftop pool</t>
  </si>
  <si>
    <t>Hard wood for base of big door main bedroom</t>
  </si>
  <si>
    <t>20% Katia over work on base of big door main bedroom</t>
  </si>
  <si>
    <t>Laundry carpet</t>
  </si>
  <si>
    <t>Cleaning 5 acs &amp; – Jairo</t>
  </si>
  <si>
    <t>Change 3 pipe wrenches for jacuzzi and pool – Jairo</t>
  </si>
  <si>
    <t>Material for Change 3 pipe wrenches for jacuzzi and pool – Jairo</t>
  </si>
  <si>
    <t>New hinges and hook for door pool – Jairo</t>
  </si>
  <si>
    <t>Cleaning S</t>
  </si>
  <si>
    <t>Ph – liquid 5lts for cleaning pool – 2 bottles</t>
  </si>
  <si>
    <t>Cleaning tiles of pool – Efraim</t>
  </si>
  <si>
    <t>Laundry S</t>
  </si>
  <si>
    <t>Chedraui : vinegar for toilets, trash can for</t>
  </si>
  <si>
    <t>Deep cleaning sofa and chairs</t>
  </si>
  <si>
    <t>20% Katia over deep cleaning sofa and chairs</t>
  </si>
  <si>
    <t>Deep cleaning sofas +</t>
  </si>
  <si>
    <t>5 stars review Lut 1 bedroom</t>
  </si>
  <si>
    <t>Fix leaking from S jacuzzi – Efraim</t>
  </si>
  <si>
    <t>Refresh</t>
  </si>
  <si>
    <t>Cleaning of jacuzzi and – Efraim</t>
  </si>
  <si>
    <t>jacuzzi pump maintenance + deep cleaning 3 filters – Efraim</t>
  </si>
  <si>
    <t>Hotplate S</t>
  </si>
  <si>
    <t>Chedraui (trash cans for , trash bags, soap, vinegar, ..)</t>
  </si>
  <si>
    <t>Ice maker piece for fridge</t>
  </si>
  <si>
    <t>Carpinter work on (tv furniture)</t>
  </si>
  <si>
    <t>velcro for</t>
  </si>
  <si>
    <t>Cleaning 2 beds</t>
  </si>
  <si>
    <t>Adapt mosquite net frame to glass frame main bedroom – Abel carpinter</t>
  </si>
  <si>
    <t>Fixing jacuzzi pump wiring – Efraim</t>
  </si>
  <si>
    <t>Cleaning 1 bedroom</t>
  </si>
  <si>
    <t>Laundry 1 bed</t>
  </si>
  <si>
    <t>Filtration main bedroom + dishwasher – Efraim</t>
  </si>
  <si>
    <t>Jacuzzi S problem with fuse (changed) + deep cleaning filter</t>
  </si>
  <si>
    <t>Replace tiles in border jacuzzi and roof top pool – Efraim</t>
  </si>
  <si>
    <t>Refresh S</t>
  </si>
  <si>
    <t>Change píece wc S – Efraim (piece + work)</t>
  </si>
  <si>
    <t>change lights S and – Efraim</t>
  </si>
  <si>
    <t>Change cable jacuzzi so pump works from black wheel – Jairo</t>
  </si>
  <si>
    <t>change light bulbs + white marker for dispensers</t>
  </si>
  <si>
    <t>Sand paper for doors</t>
  </si>
  <si>
    <t>Paint Vinimex Antibacterial Blanco mate 19lt – white paint for floors decks&amp;balconies</t>
  </si>
  <si>
    <t>Water pressure cleaning rooftop decks and balconies</t>
  </si>
  <si>
    <t>Fixing curtain rod + cleaning kitchen drain pipes</t>
  </si>
  <si>
    <t>Varnish doors (external part balconies) work + 20% Katia</t>
  </si>
  <si>
    <t>Mirrors for and – 2x1mt</t>
  </si>
  <si>
    <t>Fix sink S – Efraim</t>
  </si>
  <si>
    <t>Payment predial and + 20% Katia</t>
  </si>
  <si>
    <t>Fix jacuzzi – Efraim</t>
  </si>
  <si>
    <t>Cleaning jacuzzi S</t>
  </si>
  <si>
    <t>New screen S + 20%</t>
  </si>
  <si>
    <t>Change pipes under sink S (piece + work)</t>
  </si>
  <si>
    <t>Jacuzzi and rooftop pool cleaning</t>
  </si>
  <si>
    <t>New boiler for (Rheem 49lts bought at Niplito) + 2gas hoses + adapters +20% Katia</t>
  </si>
  <si>
    <t>Jacuzzi change new heating element</t>
  </si>
  <si>
    <t>Electric water dispenses for</t>
  </si>
  <si>
    <t>Fix floor step main door – Jose</t>
  </si>
  <si>
    <t>A/c maintenance – Oscar Zumbardo</t>
  </si>
  <si>
    <t>Change heating element jacuzzi – Jose</t>
  </si>
  <si>
    <t>Change contactores jacuzzi – Jose</t>
  </si>
  <si>
    <t>Change contactor pump jacuzzi S</t>
  </si>
  <si>
    <t>Jacuzzi</t>
  </si>
  <si>
    <t>Fix handle upstairs door</t>
  </si>
  <si>
    <t>Varnish 2lts + solvent 1lt + tinte nogal 1lt for 3 doors and S</t>
  </si>
  <si>
    <t>Pressure wash of roof and S</t>
  </si>
  <si>
    <t>Varnishing front doors and S + upstairs door - Jose</t>
  </si>
  <si>
    <t>Foam for lock off doors and</t>
  </si>
  <si>
    <t>New deadbolt for storage</t>
  </si>
  <si>
    <t>New pillows x 2 - amazon</t>
  </si>
  <si>
    <t>Copy of keys storage + Atv</t>
  </si>
  <si>
    <t>Jairo change heating element jacuzzi</t>
  </si>
  <si>
    <t>Laundry + Laundry</t>
  </si>
  <si>
    <t>Fix lights terraces + Jairo</t>
  </si>
  <si>
    <t>Change lid wc + new lid - Jose</t>
  </si>
  <si>
    <t>Change contactor jacuzzi - Jairo</t>
  </si>
  <si>
    <t>Fix kitchen sink + detail on kitchenette S - Jairo</t>
  </si>
  <si>
    <t>pegamento especial para marmol lavatrastes S + Lavatrastes</t>
  </si>
  <si>
    <t>Change wc piece S - Jairo</t>
  </si>
  <si>
    <t>New piece for wc S</t>
  </si>
  <si>
    <t>Cleaning shower strainers - Jose</t>
  </si>
  <si>
    <t>Locksmit Jesus -</t>
  </si>
  <si>
    <t>Fabric for 2 new curtains</t>
  </si>
  <si>
    <t>2 New curtains for - tailor</t>
  </si>
  <si>
    <t>Move mirror to free the outlet - Jose</t>
  </si>
  <si>
    <t>Change sand + maintenance filter rooftop pool + wc - Jairo</t>
  </si>
  <si>
    <t>New piece for upstairs wc</t>
  </si>
  <si>
    <t>Lock - Jesus</t>
  </si>
  <si>
    <t>Palm + pot for</t>
  </si>
  <si>
    <t>Piece replacement for jacuzzi - mercado libre</t>
  </si>
  <si>
    <t>Fix rooptop pool (cambio de seguro del filtro) - Jairo</t>
  </si>
  <si>
    <t>New piece for sandfilter rooftop pool</t>
  </si>
  <si>
    <t>Himalayan salt lamps x 2 -</t>
  </si>
  <si>
    <t>Jairo change mirror upstairs bathroom</t>
  </si>
  <si>
    <t>Change piece wc (piece+work-Jairo)</t>
  </si>
  <si>
    <t>Replacement heating element jacuzzi pump</t>
  </si>
  <si>
    <t>Replacement black plastic nut jacuzzi pump</t>
  </si>
  <si>
    <t>Cleaning complete</t>
  </si>
  <si>
    <t>5 wheels for office chair</t>
  </si>
  <si>
    <t>cleaning</t>
  </si>
  <si>
    <t>laundry</t>
  </si>
  <si>
    <t>Pump for pool</t>
  </si>
  <si>
    <t>A/C +S service - Oscar</t>
  </si>
  <si>
    <t>Refresh 2 beds</t>
  </si>
  <si>
    <t>Cleaning 2 bedroom</t>
  </si>
  <si>
    <t>Jairo check problem with brake</t>
  </si>
  <si>
    <t>Jacuzzi paint outside part - material</t>
  </si>
  <si>
    <t>Jacuzzi paint outside part - work Luis</t>
  </si>
  <si>
    <t>Deep cleaning pool</t>
  </si>
  <si>
    <t>Smoke detector new batteries</t>
  </si>
  <si>
    <t>Pool and jacuzzi cleaning after time no using them</t>
  </si>
  <si>
    <t>deep Cleaning jacuzzi + pool and S- Jairo</t>
  </si>
  <si>
    <t>Jacuzzi S</t>
  </si>
  <si>
    <t>Jose changes batteries for smoke detectors and</t>
  </si>
  <si>
    <t>Cleaning shower heads S</t>
  </si>
  <si>
    <t>Maintenance and cleaning water heater + +</t>
  </si>
  <si>
    <t>Change heating element jacuzzi S + fix cable jacuzzi - Jairo</t>
  </si>
  <si>
    <t>Deep cleaning pool - Jairo</t>
  </si>
  <si>
    <t>Refresh &amp;S + deep cleaning jacuzzis&amp;pool</t>
  </si>
  <si>
    <t>Laundry complete</t>
  </si>
  <si>
    <t>Keys for safes and S + 20% - Jesus</t>
  </si>
  <si>
    <t>&amp;S jacuzzis - jets and heaters working separately - Jose Manuel Electricist</t>
  </si>
  <si>
    <t>Maintenance control jacuzzi - Jose Manuel</t>
  </si>
  <si>
    <t>Electric pumps for and</t>
  </si>
  <si>
    <t>Laundry + S</t>
  </si>
  <si>
    <t>Maintenance jacuzzi system S</t>
  </si>
  <si>
    <t>Cleaning pool and S jacuzzi</t>
  </si>
  <si>
    <t>Fabric for curtain + gas + time + tailor</t>
  </si>
  <si>
    <t>Maintenance to jacuzzis equipments (,S,,S) - Jose Manuel</t>
  </si>
  <si>
    <t>Fix pool drain valve</t>
  </si>
  <si>
    <t>Cleaning jacuzzis and pool</t>
  </si>
  <si>
    <t>Maintenance to dishwasher - Jose Manuel</t>
  </si>
  <si>
    <t>Cleaning &amp; pools and jacuzzis</t>
  </si>
  <si>
    <t>Fix wc</t>
  </si>
  <si>
    <t>Check drain</t>
  </si>
  <si>
    <t>New pillowcases for couch</t>
  </si>
  <si>
    <t>Laundry 29.11.23</t>
  </si>
  <si>
    <t>Check water heater and</t>
  </si>
  <si>
    <t>Cleaning jacuzzi s + S</t>
  </si>
  <si>
    <t>Fix kitchen drawer S + check jacuzzi</t>
  </si>
  <si>
    <t>Landry</t>
  </si>
  <si>
    <t>Maintenance ac S and - Oscar Zumbardo</t>
  </si>
  <si>
    <t>Maintenance 2 acs - Oscar Zumbardo</t>
  </si>
  <si>
    <t>check jacuzzi pump not working</t>
  </si>
  <si>
    <t>Change fuse and contactor jacuzzi - Jose Manuel</t>
  </si>
  <si>
    <t>Fix dishwasher</t>
  </si>
  <si>
    <t>deep cleaning jacuzzi and</t>
  </si>
  <si>
    <t>paint jacuzzi (paint + work) + seal around jets</t>
  </si>
  <si>
    <t>cleaning pool + cleaning head shower</t>
  </si>
  <si>
    <t>Fix door handle S</t>
  </si>
  <si>
    <t>Deep ceaning jacuzzi S</t>
  </si>
  <si>
    <t>Cleaning + refresh</t>
  </si>
  <si>
    <t>Check jacuzzi - need to change card</t>
  </si>
  <si>
    <t>Laundry C</t>
  </si>
  <si>
    <t>Empty jacuzzi</t>
  </si>
  <si>
    <t>Change heating element</t>
  </si>
  <si>
    <t>Change lights S</t>
  </si>
  <si>
    <t>Ph- liquido for cleaning jacuzzis before sealing them</t>
  </si>
  <si>
    <t>2 drawers for S</t>
  </si>
  <si>
    <t>Paint, brush, sandpaper, iron brush,... material for painting and sealing jauczzu</t>
  </si>
  <si>
    <t>Katia hrs + gas to go to Playa for certificate</t>
  </si>
  <si>
    <t>White cement and silicon to seal jacuzzi and S</t>
  </si>
  <si>
    <t>scratch, cleaning, sealing and painting jacuzzi</t>
  </si>
  <si>
    <t>Cleaning and seal jacuzzi S</t>
  </si>
  <si>
    <t>Cleaning and seal jacuzzi</t>
  </si>
  <si>
    <t>Material for waterproof balcony</t>
  </si>
  <si>
    <t>Waterproof balcony - work</t>
  </si>
  <si>
    <t>Laundry complete + duvet and 2 pillows</t>
  </si>
  <si>
    <t>Fix S jacuzzi pump - back in storage ready to use when needed</t>
  </si>
  <si>
    <t>Waterproofing balcony and - material</t>
  </si>
  <si>
    <t>Waterproofing balcony and - work</t>
  </si>
  <si>
    <t>Salt lamp for S</t>
  </si>
  <si>
    <t>Seal with silicon living room doors - work + material</t>
  </si>
  <si>
    <t>Refresh complete</t>
  </si>
  <si>
    <t>Fix bottom of wooden doors , S and</t>
  </si>
  <si>
    <t>Fix base of bed in</t>
  </si>
  <si>
    <t>Fix table</t>
  </si>
  <si>
    <t>Cleaning jacuzzi and pool (Stephanie Roy in)</t>
  </si>
  <si>
    <t>Refresh apt and jac+pool</t>
  </si>
  <si>
    <t>change heating element + some cables jacuzzi</t>
  </si>
  <si>
    <t>Water pressurizer for</t>
  </si>
  <si>
    <t>New drain valves for jacuzzi (2 pieces)</t>
  </si>
  <si>
    <t>change lock upstair door</t>
  </si>
  <si>
    <t>Change battery smoke detector + check water heater</t>
  </si>
  <si>
    <t>Deep Cleaning jac</t>
  </si>
  <si>
    <t>Celaning</t>
  </si>
  <si>
    <t>New Tv for 50" Chedraui</t>
  </si>
  <si>
    <t>Sealing and painting jaucizzi S - work</t>
  </si>
  <si>
    <t>Sealing and painting jaucizzi S - material</t>
  </si>
  <si>
    <t>Cleaning jacuzzi</t>
  </si>
  <si>
    <t>Cleaning jac</t>
  </si>
  <si>
    <t>Extra batteries for water heater</t>
  </si>
  <si>
    <t>Repair water heater and pressurizer</t>
  </si>
  <si>
    <t>clean pool and jac</t>
  </si>
  <si>
    <t>Change one filling valve jacuzzi S</t>
  </si>
  <si>
    <t>change sand of filter pool (material + work)</t>
  </si>
  <si>
    <t>Fix leaking from jacuzzi</t>
  </si>
  <si>
    <t>New pump rooftop pool - Aquapk modelo Venus10F amazon</t>
  </si>
  <si>
    <t>Waterproof cabinet jacuzzi S, seal light and jets (work+material)</t>
  </si>
  <si>
    <t>Replace 2 contactores jacuzzi S</t>
  </si>
  <si>
    <t>Cleaning jac and pool</t>
  </si>
  <si>
    <t>Cleaning 2 bedrooms + vacuum sofa</t>
  </si>
  <si>
    <t>Cleaning jac and pool after hurricane</t>
  </si>
  <si>
    <t>Refresh 2 bedrooms</t>
  </si>
  <si>
    <t>Cleaning jacuzzis and pools , b303 and</t>
  </si>
  <si>
    <t>cleaning floor - guests left tap open</t>
  </si>
  <si>
    <t>Change heating element jacuzzi S</t>
  </si>
  <si>
    <t>Ac s - change contactor ac equipment</t>
  </si>
  <si>
    <t>jacuzzi s fix contactor</t>
  </si>
  <si>
    <t>Change fusible jacuzzi S</t>
  </si>
  <si>
    <t>Laundry 1 bedroom</t>
  </si>
  <si>
    <t>Material for fixing water heater + work</t>
  </si>
  <si>
    <t>Change lock bedroom door</t>
  </si>
  <si>
    <t>Empty and clean jacuzzi and pool</t>
  </si>
  <si>
    <t>Painting rooftop pool - Jose</t>
  </si>
  <si>
    <t>Seal drain pipes jacuzzi and - Jose</t>
  </si>
  <si>
    <t>Jacuzzi - new valve + replace contactor and heating element - Jose and Ronny</t>
  </si>
  <si>
    <t>New water heater for - Calentador Calorex 2 servicios 76lts 220v - Boxito</t>
  </si>
  <si>
    <t>Change contactor and heating element + repair some cables</t>
  </si>
  <si>
    <t>Repair S jacuzzi</t>
  </si>
  <si>
    <t>Material for sealing area under jacuzzi pump equipment</t>
  </si>
  <si>
    <t>Sealing area under jacuzzi pump equipment and under jets - Jose</t>
  </si>
  <si>
    <t>pool pump: replace outlet and timer</t>
  </si>
  <si>
    <t>3 respiraderos de jets - jets piece replacement - jacuzzi</t>
  </si>
  <si>
    <t>Work on jacuzzi - replace piece of 3 jets (work + material)</t>
  </si>
  <si>
    <t>Repairing works on balcony roof (work + material)</t>
  </si>
  <si>
    <t>1 sunchair new new fabric + rope / 1 sunchair new rope - tailor</t>
  </si>
  <si>
    <t>jacuzzi s - work on jets (same as in jacuzzi ) - water leak</t>
  </si>
  <si>
    <t>jacuzzi S - 2 new jets pieces (respiradores)</t>
  </si>
  <si>
    <t>Clean jacuzzi</t>
  </si>
  <si>
    <t>Paint under tv in</t>
  </si>
  <si>
    <t>Clean jacuzzi and pool</t>
  </si>
  <si>
    <t>Repair wc</t>
  </si>
  <si>
    <t>Work on balcony lights - Benjamin</t>
  </si>
  <si>
    <t>Work on balcony lights - material</t>
  </si>
  <si>
    <t>Cleaningn jacuzzis and pool 2 bedrooms</t>
  </si>
  <si>
    <t>Amazon - aeroetaors faucet</t>
  </si>
  <si>
    <t>Chedraui - 2 coffe makers for and , hand soap</t>
  </si>
  <si>
    <t>New memory foam for bed</t>
  </si>
  <si>
    <t>Spare part for wc upstairs + replace parts</t>
  </si>
  <si>
    <t>3 New plants for and + soil + bringing them up to roof and transplant them</t>
  </si>
  <si>
    <t>Paint jacuzzi S with epoxy paint</t>
  </si>
  <si>
    <t>Repair jacuzzi and S pumps and heater</t>
  </si>
  <si>
    <t>Repair jets jacuzzi - material + work</t>
  </si>
  <si>
    <t>New coffe maker for</t>
  </si>
  <si>
    <t>Toilet paper holder</t>
  </si>
  <si>
    <t>Kitchen heat gloves set</t>
  </si>
  <si>
    <t>Tuppers</t>
  </si>
  <si>
    <t>maintenance: jacuzzi scratched, resurfaced where needed and repaint (work)</t>
  </si>
  <si>
    <t>maintenance: jacuzzi repaint (material)</t>
  </si>
  <si>
    <t>Macrame Decoration for and</t>
  </si>
  <si>
    <t>maintenance: paint bathroom + fridge + fix base bedroom (material)</t>
  </si>
  <si>
    <t>maintenance: paint bathroom + fridge + fix base bedroom (work)</t>
  </si>
  <si>
    <t>- repair bed material</t>
  </si>
  <si>
    <t>- repair bed work</t>
  </si>
  <si>
    <t>- other repair works (work)</t>
  </si>
  <si>
    <t>Repair water leak from rooftop pool (material + work)</t>
  </si>
  <si>
    <t>Clean jacuzzis and pool</t>
  </si>
  <si>
    <t>Beds bases and S repaired (work + material)</t>
  </si>
  <si>
    <t>ac lounge maintenance</t>
  </si>
  <si>
    <t>Clean shower , repair beds , S, S</t>
  </si>
  <si>
    <t>Clean jacuzzi S</t>
  </si>
  <si>
    <t>Clean jacuzzi and pool + bug spray</t>
  </si>
  <si>
    <t>Replace heating element jacuzzi</t>
  </si>
  <si>
    <t>Cleaning jacuzzi s</t>
  </si>
  <si>
    <t>Property tax and</t>
  </si>
  <si>
    <t>Cleaning jac and pool and S</t>
  </si>
  <si>
    <t>Replace rooftop door lock</t>
  </si>
  <si>
    <t>Maintenance ac S</t>
  </si>
  <si>
    <t>Laundry , S, ,</t>
  </si>
  <si>
    <t>Clean jacuzzi and S</t>
  </si>
  <si>
    <t>Repair jacuzzi S</t>
  </si>
  <si>
    <t>work on jets jacuzzi s, water leak repaired</t>
  </si>
  <si>
    <t>Repair kitchen drawers and (material + work)</t>
  </si>
  <si>
    <t>Cleaning jacuzzis and pool and s</t>
  </si>
  <si>
    <t>Replace contactor jacuzzi + repair cable</t>
  </si>
  <si>
    <t>Clean jac and pool</t>
  </si>
  <si>
    <t>Cleaning jacuzzi and s</t>
  </si>
  <si>
    <t>Cleaning jacuzzi and pool</t>
  </si>
  <si>
    <t>Repair jacuzzi heater</t>
  </si>
  <si>
    <t>Laundry and</t>
  </si>
  <si>
    <t>Cleaning jacu and pool</t>
  </si>
  <si>
    <t>Repair washing machine (pieces)</t>
  </si>
  <si>
    <t>Repair washing machine (work)</t>
  </si>
  <si>
    <t>Repair jacuzzi</t>
  </si>
  <si>
    <t>Jacuzzi and pool cleaning</t>
  </si>
  <si>
    <t>Ac S</t>
  </si>
  <si>
    <t>Cleaning ac</t>
  </si>
  <si>
    <t>Lock wardrobe S new keys</t>
  </si>
  <si>
    <t>Jacuzzi and pool</t>
  </si>
  <si>
    <t>Replace heating element and contactor jacuzzi</t>
  </si>
  <si>
    <t>Refresh and S</t>
  </si>
  <si>
    <t>ac repair</t>
  </si>
  <si>
    <t>Cleaning jacuzzi and pool and S</t>
  </si>
  <si>
    <t>Repair dishwasher</t>
  </si>
  <si>
    <t>Clean jacuzzis and pool and S</t>
  </si>
  <si>
    <t>Laundry Natalia</t>
  </si>
  <si>
    <t>Cleaning 2 bedrooms + jacuzzi</t>
  </si>
  <si>
    <t>clean jacuzzi and pool</t>
  </si>
  <si>
    <t>Move stuff from storage to storage - Jose and Rangel helping</t>
  </si>
  <si>
    <t>Wash sunchair</t>
  </si>
  <si>
    <t>Fix water heater pipe leak</t>
  </si>
  <si>
    <t>Mirror (Katia bought it from Jamie)</t>
  </si>
  <si>
    <t>Cleaning pipes water heater and water pressure pump</t>
  </si>
  <si>
    <t>Fix wc , replace part</t>
  </si>
  <si>
    <t>Deep Clean jacuzzi and cleaning pool</t>
  </si>
  <si>
    <t>Repair water leak beside water heater</t>
  </si>
  <si>
    <t>Refresh S and cleaning jacuzzi</t>
  </si>
  <si>
    <t>Cleaning s jacuzzi</t>
  </si>
  <si>
    <t>Gas to Playa round trip, to collect deed</t>
  </si>
  <si>
    <t>Cleaning and maintenance to dishwasher</t>
  </si>
  <si>
    <t>Repair sliding door bedroom</t>
  </si>
  <si>
    <t>Replace piece jacuzzi</t>
  </si>
  <si>
    <t>New lock for upstairs door</t>
  </si>
  <si>
    <t>Laundry 2 bedrooms and</t>
  </si>
  <si>
    <t>Trash bin for S</t>
  </si>
  <si>
    <t>Replace heating element and 2 contactors jacuzzi</t>
  </si>
  <si>
    <t>Property tax payment</t>
  </si>
  <si>
    <t>Refresh and</t>
  </si>
  <si>
    <t>Laundry + laundry coach</t>
  </si>
  <si>
    <t>Replace heating element jacuzzi S, correct a loose connection in the pump connector and replace resistor wires</t>
  </si>
  <si>
    <t>Laundry and S</t>
  </si>
  <si>
    <t>Repair jacuzzi and Replace jacuzzi drain water tap</t>
  </si>
  <si>
    <t>Jacuzzi - deep cleaning of jets, replace heating element, deep cleaning jacuzzi</t>
  </si>
  <si>
    <t>payment to Billy for Jamie's stay in 06-08 mar</t>
  </si>
  <si>
    <t>Replace necessary lights in</t>
  </si>
  <si>
    <t>payment to Billy for Hillman's stay in 20-22 mar</t>
  </si>
  <si>
    <t>Repair toilet S</t>
  </si>
  <si>
    <t>Wifi services and</t>
  </si>
  <si>
    <t>Repair toilet</t>
  </si>
  <si>
    <t>Repair kitchen drawer</t>
  </si>
  <si>
    <t>Deep cleaning rooftop pool</t>
  </si>
  <si>
    <t>Repair toilet - work+material</t>
  </si>
  <si>
    <t>Fridge manteinance</t>
  </si>
  <si>
    <t>Plumber for changing water pump</t>
  </si>
  <si>
    <t>Roof pool cleaning + chlorine</t>
  </si>
  <si>
    <t>Lock change entrance door</t>
  </si>
  <si>
    <t>Deadbolt instalation</t>
  </si>
  <si>
    <t>Internet contract</t>
  </si>
  <si>
    <t>Table games (Catan, Bycycle cards, Sequence)</t>
  </si>
  <si>
    <t>Dishwasher</t>
  </si>
  <si>
    <t>Copies documents</t>
  </si>
  <si>
    <t>Sliding door fixed (no paint)</t>
  </si>
  <si>
    <t>Front door fixed and paint</t>
  </si>
  <si>
    <t>Paint 2 sliding doors, door upstairs, windows</t>
  </si>
  <si>
    <t>Paint for doors and windows</t>
  </si>
  <si>
    <t>Plumbery works + Balcony and roof waterpressure washing</t>
  </si>
  <si>
    <t>one hour papers works</t>
  </si>
  <si>
    <t>Predial Payment</t>
  </si>
  <si>
    <t>Electric works (contact on jacuzzi+changing pastilla)</t>
  </si>
  <si>
    <t>Roof pool (work + material)</t>
  </si>
  <si>
    <t>Roof painting white, work</t>
  </si>
  <si>
    <t>Vinimex Total Comex 19ltrs MATE</t>
  </si>
  <si>
    <t>Jacuzzi (work+material) – Luis</t>
  </si>
  <si>
    <t>Manteinance 2 a/c ; light and outlets on stairs. MATERIAL – Eduardo</t>
  </si>
  <si>
    <t>Manteinance 2 a/c ; light and outlets on stairs. WORK – Eduardo</t>
  </si>
  <si>
    <t>White exterior painting 20mt2, work – Luis</t>
  </si>
  <si>
    <t>White paint “Blanco Ostion” 4 litres – Comex</t>
  </si>
  <si>
    <t>Tiles colour black for shower – mercado libre</t>
  </si>
  <si>
    <t>Work on spa concrete box – Luis</t>
  </si>
  <si>
    <t>Cleaning products</t>
  </si>
  <si>
    <t>Lut airbnb reservation for 5 stars review</t>
  </si>
  <si>
    <t>Chloro shock + Salt 25 kg</t>
  </si>
  <si>
    <t>Net for pool cleaning</t>
  </si>
  <si>
    <t>2 water jars</t>
  </si>
  <si>
    <t>Spa vac shipment (1 hour)</t>
  </si>
  <si>
    <t>Shipment of spa vac</t>
  </si>
  <si>
    <t>water jug new</t>
  </si>
  <si>
    <t>Water pump for drinkable water</t>
  </si>
  <si>
    <t>Atv manteinance + taxi</t>
  </si>
  <si>
    <t>Atv manteinance – 1 hour</t>
  </si>
  <si>
    <t>water cristal</t>
  </si>
  <si>
    <t>Signs for jacuzzis printing</t>
  </si>
  <si>
    <t>Cloro tablets + ph strips</t>
  </si>
  <si>
    <t>AA and AAA extra batteries for remotes ac and eufy</t>
  </si>
  <si>
    <t>Scumbug</t>
  </si>
  <si>
    <t>Pressure wash roof</t>
  </si>
  <si>
    <t>Jacuzzi work for placing differential – Jairo</t>
  </si>
  <si>
    <t>Jacuzzi differential – Jairo</t>
  </si>
  <si>
    <t>Cleaning + windows</t>
  </si>
  <si>
    <t>A/C manteinance– Frigotek</t>
  </si>
  <si>
    <t>2 heating elements for jacuzzi</t>
  </si>
  <si>
    <t>Jacuzzi (material) – Luis</t>
  </si>
  <si>
    <t>Jacuzzi (work) – Luis</t>
  </si>
  <si>
    <t>Refrigerator piece replacement – GE</t>
  </si>
  <si>
    <t>replacement pieces for jets jacuzzi – Tulum pools</t>
  </si>
  <si>
    <t>1 Replacement piece for jacuzzi – Amazon</t>
  </si>
  <si>
    <t xml:space="preserve">Laundry </t>
  </si>
  <si>
    <t>Cleaning Veronica</t>
  </si>
  <si>
    <t>Tiles in shower floor (material + work)</t>
  </si>
  <si>
    <t>Veronica cleaning of</t>
  </si>
  <si>
    <t>Lut reservation  for review</t>
  </si>
  <si>
    <t>Cleaning stuff</t>
  </si>
  <si>
    <t>Keys for safe</t>
  </si>
  <si>
    <t>Veronica cleaning</t>
  </si>
  <si>
    <t>cleaning – check out</t>
  </si>
  <si>
    <t xml:space="preserve"> cleaning – check out</t>
  </si>
  <si>
    <t>Ac checking - Oscar</t>
  </si>
  <si>
    <t>Jairo change of heating element jacuzzi</t>
  </si>
  <si>
    <t>replacement piece for jacuzzi – Tulum pools</t>
  </si>
  <si>
    <t>Work for replace piece jacuzzi and check jacuzzi – Jairo</t>
  </si>
  <si>
    <t>Jacuzzis fix doors - Jairo</t>
  </si>
  <si>
    <t>Cleaning – Veronica</t>
  </si>
  <si>
    <t>Cloro shock for pool - Tulum pools</t>
  </si>
  <si>
    <t>APARTMENT</t>
  </si>
  <si>
    <t>NAME</t>
  </si>
  <si>
    <t>Emmeline Page</t>
  </si>
  <si>
    <t>Spencer Lanier</t>
  </si>
  <si>
    <t>Stephen Mack</t>
  </si>
  <si>
    <t>Jhonatham Cummings</t>
  </si>
  <si>
    <t>Ian Downie</t>
  </si>
  <si>
    <t>Ryan Walsh</t>
  </si>
  <si>
    <t>Misty Erkkila</t>
  </si>
  <si>
    <t>Taran Parmar</t>
  </si>
  <si>
    <t>Sergey Kulagin</t>
  </si>
  <si>
    <t>Hilary Hoover</t>
  </si>
  <si>
    <t>Brian D'Antoni</t>
  </si>
  <si>
    <t>Ken Komatsuda</t>
  </si>
  <si>
    <t>Fernanda Mendez</t>
  </si>
  <si>
    <t>Adam Janik</t>
  </si>
  <si>
    <t>Robin Marte</t>
  </si>
  <si>
    <t>Marci Chin</t>
  </si>
  <si>
    <t>Matthew Bourque</t>
  </si>
  <si>
    <t>Carrie-Anne Hume</t>
  </si>
  <si>
    <t>Edric Snowe</t>
  </si>
  <si>
    <t>Ariana Villaverde</t>
  </si>
  <si>
    <t>Kerry Bole</t>
  </si>
  <si>
    <t>Kristena Ungvarsky</t>
  </si>
  <si>
    <t>Atv rental, Kristena Ungvarsky</t>
  </si>
  <si>
    <t>Luke McCool</t>
  </si>
  <si>
    <t>Sina Mashady</t>
  </si>
  <si>
    <t>Raymond Russel</t>
  </si>
  <si>
    <t>Airbnb</t>
  </si>
  <si>
    <t>Brittany Tucker</t>
  </si>
  <si>
    <t>Booking</t>
  </si>
  <si>
    <t>Shane Dundas</t>
  </si>
  <si>
    <t>Nikia Leamire</t>
  </si>
  <si>
    <t>Mindy Holden</t>
  </si>
  <si>
    <t>Matthew Tatum</t>
  </si>
  <si>
    <t>Alexis Dubourdieu</t>
  </si>
  <si>
    <t>Julio Sosa</t>
  </si>
  <si>
    <t>Greg Chapple</t>
  </si>
  <si>
    <t>Jennifer Myers</t>
  </si>
  <si>
    <t>George White</t>
  </si>
  <si>
    <t>Yadira Barrera</t>
  </si>
  <si>
    <t>Cossette Haddock</t>
  </si>
  <si>
    <t>Johnny Hernandez</t>
  </si>
  <si>
    <t>Aniket Sharma</t>
  </si>
  <si>
    <t>Pre Knechia</t>
  </si>
  <si>
    <t>Shane Finkelstein</t>
  </si>
  <si>
    <t>Maya Dadez</t>
  </si>
  <si>
    <t>Felix Bostel</t>
  </si>
  <si>
    <t>Brian Concah</t>
  </si>
  <si>
    <t>Adrien Green</t>
  </si>
  <si>
    <t>Akshay Pimprikar</t>
  </si>
  <si>
    <t>Sameer Singh</t>
  </si>
  <si>
    <t>Karen G</t>
  </si>
  <si>
    <t>Expedia</t>
  </si>
  <si>
    <t>Luis Lopez</t>
  </si>
  <si>
    <t>Dustin Spitzer</t>
  </si>
  <si>
    <t>Jerrod Noble</t>
  </si>
  <si>
    <t>Raza Kanani</t>
  </si>
  <si>
    <t>Gustavo Blascovi</t>
  </si>
  <si>
    <t>Beatrijs Berre</t>
  </si>
  <si>
    <t>Riccardo Coan</t>
  </si>
  <si>
    <t>Yael Vazquez</t>
  </si>
  <si>
    <t>Kevin Dyal</t>
  </si>
  <si>
    <t>Emily LeVan</t>
  </si>
  <si>
    <t>Didier Milleri</t>
  </si>
  <si>
    <t>Aaron Boring</t>
  </si>
  <si>
    <t>Elree Paw</t>
  </si>
  <si>
    <t>Rob Landsam</t>
  </si>
  <si>
    <t>Tamika Brighton</t>
  </si>
  <si>
    <t>Shuzao Yan</t>
  </si>
  <si>
    <t>Michael Limm</t>
  </si>
  <si>
    <t>Ryan Shaney</t>
  </si>
  <si>
    <t>Elisabeth Quinn</t>
  </si>
  <si>
    <t>Tiffane Golson</t>
  </si>
  <si>
    <t>Tahire Edirisinghe</t>
  </si>
  <si>
    <t>Jeff Devoe</t>
  </si>
  <si>
    <t>Alexander Villlalobos</t>
  </si>
  <si>
    <t>Noah Morrison</t>
  </si>
  <si>
    <t>Jawanna Hardy</t>
  </si>
  <si>
    <t>Ethan Glickstein</t>
  </si>
  <si>
    <t>Dominic Cashman</t>
  </si>
  <si>
    <t>Eoin K Cunneen</t>
  </si>
  <si>
    <t>Kai Naly Kelly</t>
  </si>
  <si>
    <t>Intima Reservation</t>
  </si>
  <si>
    <t>Intima</t>
  </si>
  <si>
    <t>Shelly Morasko</t>
  </si>
  <si>
    <t>Ali Elganzouri</t>
  </si>
  <si>
    <t>Ken Komasuda</t>
  </si>
  <si>
    <t>Roberto Quiroz</t>
  </si>
  <si>
    <t>Eric Daninger</t>
  </si>
  <si>
    <t>Teresa Suarez</t>
  </si>
  <si>
    <t>Matteo Palacardo</t>
  </si>
  <si>
    <t>Brooke Villanyi</t>
  </si>
  <si>
    <t>Ravin Elango</t>
  </si>
  <si>
    <t>Gary Mccoy</t>
  </si>
  <si>
    <t>Ken and Luz</t>
  </si>
  <si>
    <t>Joseph Mulligan</t>
  </si>
  <si>
    <t>Patricia Romero</t>
  </si>
  <si>
    <t>Shanta Bailey</t>
  </si>
  <si>
    <t>Manuel Ortegon</t>
  </si>
  <si>
    <t>Paulo Henriques</t>
  </si>
  <si>
    <t>Victor Hugo</t>
  </si>
  <si>
    <t>Alexander Pilson</t>
  </si>
  <si>
    <t>David Flessner</t>
  </si>
  <si>
    <t>Jurgen Platz</t>
  </si>
  <si>
    <t>Francisco Lopez</t>
  </si>
  <si>
    <t>David Pillado</t>
  </si>
  <si>
    <t>Angel H.</t>
  </si>
  <si>
    <t>Brian Artiaco</t>
  </si>
  <si>
    <t>Elizabeth Corkum</t>
  </si>
  <si>
    <t>Jason Monroe</t>
  </si>
  <si>
    <t>Jorge Sanchez Armass</t>
  </si>
  <si>
    <t>Dexter Musa</t>
  </si>
  <si>
    <t>Rhoda Nunoo</t>
  </si>
  <si>
    <t>Usman Akbar</t>
  </si>
  <si>
    <t>Bernardo Brazao</t>
  </si>
  <si>
    <t>Jeanne Boivin</t>
  </si>
  <si>
    <t>Stephen Norton</t>
  </si>
  <si>
    <t>Frankie</t>
  </si>
  <si>
    <t>Michelle Braun</t>
  </si>
  <si>
    <t>Aishah Mccoy</t>
  </si>
  <si>
    <t>Raul Velarde</t>
  </si>
  <si>
    <t>Mike Mausser</t>
  </si>
  <si>
    <t>Kara Von Niessen</t>
  </si>
  <si>
    <t>Leona de Vinne</t>
  </si>
  <si>
    <t>Richard Edmund Broadley</t>
  </si>
  <si>
    <t>Robert Lee</t>
  </si>
  <si>
    <t>Jose Cordoba Garza</t>
  </si>
  <si>
    <t>Google</t>
  </si>
  <si>
    <t>Benjamin Glossop</t>
  </si>
  <si>
    <t>Chris Schefhelbein</t>
  </si>
  <si>
    <t>Olga</t>
  </si>
  <si>
    <t>Suzie Smith</t>
  </si>
  <si>
    <t>Andrew Hinkle</t>
  </si>
  <si>
    <t>Alyson Terrie</t>
  </si>
  <si>
    <t>Domonique Peterson</t>
  </si>
  <si>
    <t>Jay Decker</t>
  </si>
  <si>
    <t>Scott Amos</t>
  </si>
  <si>
    <t>Cameron Lee</t>
  </si>
  <si>
    <t>Ashley Robinson</t>
  </si>
  <si>
    <t>Jennifer Pate</t>
  </si>
  <si>
    <t>Kalan Brown</t>
  </si>
  <si>
    <t>Christina Hinkebein</t>
  </si>
  <si>
    <t>Darnell Latney</t>
  </si>
  <si>
    <t>Edgar Reyes</t>
  </si>
  <si>
    <t>Danny O neal</t>
  </si>
  <si>
    <t>Victor Fishington</t>
  </si>
  <si>
    <t>Jose Reyes</t>
  </si>
  <si>
    <t>VRBO</t>
  </si>
  <si>
    <t>Jules Desmond Fuller</t>
  </si>
  <si>
    <t>Sam Johnson</t>
  </si>
  <si>
    <t>Norman Brooks</t>
  </si>
  <si>
    <t>Cohen Cosby</t>
  </si>
  <si>
    <t>Brigitte Naud</t>
  </si>
  <si>
    <t>Ken Komatsusa</t>
  </si>
  <si>
    <t>Gina Rizzuti</t>
  </si>
  <si>
    <t>Warren Blackburn</t>
  </si>
  <si>
    <t>Tara Gibbons</t>
  </si>
  <si>
    <t>Genesta Riches</t>
  </si>
  <si>
    <t>Fred Deffer</t>
  </si>
  <si>
    <t>Jose Miguel Martinez Padilla</t>
  </si>
  <si>
    <t>Lodgify</t>
  </si>
  <si>
    <t>Julie Oberbillig</t>
  </si>
  <si>
    <t>Fernando Sauri</t>
  </si>
  <si>
    <t>Samantha Fowler</t>
  </si>
  <si>
    <t>Michael Macarthur</t>
  </si>
  <si>
    <t>Kevin Conor</t>
  </si>
  <si>
    <t>Alejandro Sandoval</t>
  </si>
  <si>
    <t>Karla Lugo</t>
  </si>
  <si>
    <t>Sven Wehner</t>
  </si>
  <si>
    <t>Salvador Suaza</t>
  </si>
  <si>
    <t>Leonardo Mandarino</t>
  </si>
  <si>
    <t>Bryce Villadsen</t>
  </si>
  <si>
    <t>Latavion Reed</t>
  </si>
  <si>
    <t>Adam Kittel</t>
  </si>
  <si>
    <t>Martin Geissbuhler</t>
  </si>
  <si>
    <t>Robert Hubbard</t>
  </si>
  <si>
    <t>Roxanne Bauer</t>
  </si>
  <si>
    <t>Matias Benitez</t>
  </si>
  <si>
    <t>Kelly Brazil</t>
  </si>
  <si>
    <t>Crystal King</t>
  </si>
  <si>
    <t>Mark Chadwick</t>
  </si>
  <si>
    <t>Jared Ennis</t>
  </si>
  <si>
    <t>Robert Mendenhal</t>
  </si>
  <si>
    <t>Trenisa King Gonzales</t>
  </si>
  <si>
    <t>Luis Duran</t>
  </si>
  <si>
    <t>Letitia Raiciulescu</t>
  </si>
  <si>
    <t>Juan Luis Alonzo Morales</t>
  </si>
  <si>
    <t>Robert Alexander</t>
  </si>
  <si>
    <t>Cassey Anderson</t>
  </si>
  <si>
    <t>Jason Meran</t>
  </si>
  <si>
    <t>Wendy Read</t>
  </si>
  <si>
    <t>Tomasz Gajewski</t>
  </si>
  <si>
    <t>Gerald Bornhofen</t>
  </si>
  <si>
    <t>Owen Demarce</t>
  </si>
  <si>
    <t>Aydan Bowman</t>
  </si>
  <si>
    <t>Charles Owusu</t>
  </si>
  <si>
    <t>James Wineberg</t>
  </si>
  <si>
    <t>Vernon Everett</t>
  </si>
  <si>
    <t>Sebastien Rodts</t>
  </si>
  <si>
    <t>Roberto Gonzalez</t>
  </si>
  <si>
    <t>Ashley Donnelly</t>
  </si>
  <si>
    <t>Lee Negri</t>
  </si>
  <si>
    <t>Mikiya Suzuki</t>
  </si>
  <si>
    <t>Radee Miranda Villa</t>
  </si>
  <si>
    <t>Mayra Salazar</t>
  </si>
  <si>
    <t>John Snow</t>
  </si>
  <si>
    <t>Andrea Murray</t>
  </si>
  <si>
    <t>Mark Gregory</t>
  </si>
  <si>
    <t>Micah San Antonio</t>
  </si>
  <si>
    <t>Jordan Sangalang</t>
  </si>
  <si>
    <t>Sarah Hafsi</t>
  </si>
  <si>
    <t>Caroline Rabasa</t>
  </si>
  <si>
    <t>S Jacquelyn</t>
  </si>
  <si>
    <t>Raydel Bernardez Favier</t>
  </si>
  <si>
    <t>Unique Yisrael</t>
  </si>
  <si>
    <t>Kenneth Hillman</t>
  </si>
  <si>
    <t>Direct Reservation</t>
  </si>
  <si>
    <t>Byron Wicks</t>
  </si>
  <si>
    <t>Scott Lowe</t>
  </si>
  <si>
    <t>Gedalya Reichman</t>
  </si>
  <si>
    <t>Sarah Landau</t>
  </si>
  <si>
    <t>Christopher Foucha</t>
  </si>
  <si>
    <t>Aaron Loeza</t>
  </si>
  <si>
    <t>20% commission</t>
  </si>
  <si>
    <t>Check-in Date</t>
  </si>
  <si>
    <t>Check-out Date</t>
  </si>
  <si>
    <t>RENTAL PLATFORM</t>
  </si>
  <si>
    <t>Hoa monthly bill (utilities included)</t>
  </si>
  <si>
    <t>FULL AMOUNT mxn pesos</t>
  </si>
  <si>
    <t>FULL AMOUNT usd</t>
  </si>
  <si>
    <t>2022</t>
  </si>
  <si>
    <t>2023</t>
  </si>
  <si>
    <t>2024</t>
  </si>
  <si>
    <t>2025</t>
  </si>
  <si>
    <t>2026</t>
  </si>
  <si>
    <t>Year</t>
  </si>
  <si>
    <t>Overhead</t>
  </si>
  <si>
    <t>InstOverheadation of heating element in jacuzzi – Jairo</t>
  </si>
  <si>
    <t>Iron smOverhead tables 2 – Amazon</t>
  </si>
  <si>
    <t>Telcel $ for cOverheads</t>
  </si>
  <si>
    <t>Jairo instOverheadation of new equipment jacuzzi + 20%</t>
  </si>
  <si>
    <t>InstOverheadation of new water pump jacuzzi – Jairo</t>
  </si>
  <si>
    <t>Material for InstOverheadation of new water pump jacuzzi – Jairo</t>
  </si>
  <si>
    <t>20% Katia over instOverheadation new pump in (total 7450)</t>
  </si>
  <si>
    <t>2 Eufy smart locks instOverheadation – Jesus</t>
  </si>
  <si>
    <t>2 Eufy smart locks instOverheadation (Jesus) – Katia 20% over total</t>
  </si>
  <si>
    <t>Laundry Overhead curtains (whites and darker ones)</t>
  </si>
  <si>
    <t>Termites and insects treatment in Overhead apartment</t>
  </si>
  <si>
    <t>SmOverhead soaps and shampoos+refill for Overhead apts</t>
  </si>
  <si>
    <t>Work for instOverheading new pump rooftop pool - Jairo</t>
  </si>
  <si>
    <t>Material for instOverheadaing new pump rooftop pool – Jairo</t>
  </si>
  <si>
    <t>smOverhead water pump for drinkable water</t>
  </si>
  <si>
    <t>Lighters for Overhead apts</t>
  </si>
  <si>
    <t>White paint for jacuzzi +pool (3 gOverheadlons paint + 3brushes)</t>
  </si>
  <si>
    <t>InstOverheadation of hard wood at the base</t>
  </si>
  <si>
    <t>Jesus locksmith – instOverhead of eufy smart locks c301</t>
  </si>
  <si>
    <t>Chedraui (bags for rubbish, vinegar, cloro for Overhead apts)</t>
  </si>
  <si>
    <t>Paint in some of wOverheads, fixing piece of dishwasher, change piece of wc upstairs – Efraim</t>
  </si>
  <si>
    <t>Paint in some B302 and wOverheads, cleaning of 3 wc + product for cleaning them cahnge botton of one handwasher</t>
  </si>
  <si>
    <t>Cleaning electrical contacts Overhead jacuzzis and pools pumps --- Efraim</t>
  </si>
  <si>
    <t>New water pump for jacuzzi (backup saved in storage ) – Aqua Pak Silver 115V 1hp – (total pump price is 3700$ including 20%, I had 2700$ for a memory foam which we didn't need finOverheady, so difference to pay is 1000$)</t>
  </si>
  <si>
    <t>sign stand 11x14 cm - 6 pieces – for wifi details in Overhead apts – amazon</t>
  </si>
  <si>
    <t>Print&amp;plastify smOverhead signs for rooms (do not open jacuzzi&amp;pool doors, wifi, do not throw toilet paper..)</t>
  </si>
  <si>
    <t>SmOverhead fridge for S</t>
  </si>
  <si>
    <t>smOverhead inside wood frame for door main bedroom</t>
  </si>
  <si>
    <t>Salt ionizer instOverheadation jacuzzi – Jairo</t>
  </si>
  <si>
    <t>Change piece for handswasher bathroom + instOverheadation – Efraim</t>
  </si>
  <si>
    <t>New hose for shower + instOverheadation – Efraim</t>
  </si>
  <si>
    <t>InstOverheadation of Dispensers for shampoo, conditioner, soap, for Overhead apts – Efraim</t>
  </si>
  <si>
    <t>White paint for details wOverheads rooftop&amp;balconies 19lt</t>
  </si>
  <si>
    <t>Paint Rooftop decks+balconies (floors+details wOverheads)– WORK + 20% Katia</t>
  </si>
  <si>
    <t>InstOverheadation mirrors , , S (material + work) + 300$ extra for mailing (it was more expensive then told when they arrived)</t>
  </si>
  <si>
    <t>InstOverhead new boiler – Efraim</t>
  </si>
  <si>
    <t>Mirror instOverheaded S</t>
  </si>
  <si>
    <t>CabOverheadito black tint for face towels</t>
  </si>
  <si>
    <t>Fix smOverhead door kitchen – Jose</t>
  </si>
  <si>
    <t>4 filters for jacuzzis + scumbugs + kitchen towels + mops + bicarbonato+tint for towels "cabOverheadito"</t>
  </si>
  <si>
    <t>Storage keys instOverheadation S+S+ Jesus locksmith</t>
  </si>
  <si>
    <t>Maguey plant + pot + instOverheadation on rooftop</t>
  </si>
  <si>
    <t>Kitchen paper for Overhead apts</t>
  </si>
  <si>
    <t>2 wOverhead lamps for main bedroom</t>
  </si>
  <si>
    <t>Fix part of wOverhead bedroom (mat+work) - Jose</t>
  </si>
  <si>
    <t>Chedraui trash bags for Overhead depts</t>
  </si>
  <si>
    <t>Print+plastify new wifi details+instagram for Overhead apts</t>
  </si>
  <si>
    <t>New smOverhead lock for doors jacuzzi S and pool + instOverheadation - Jose Manuel</t>
  </si>
  <si>
    <t>SmOverhead locks for doors boilers and + instOverheadation - Jose Manuel</t>
  </si>
  <si>
    <t>InstOverhead pools timers - Jose Manuel</t>
  </si>
  <si>
    <t>InstOverheadation timers and S for jacuzzis</t>
  </si>
  <si>
    <t>InstOverhead replacement pieces heater - Jose Manuel</t>
  </si>
  <si>
    <t>InstOverhead new control + heating element jacuzzi</t>
  </si>
  <si>
    <t>InstOverheadation new instant gas water heater (work + material)</t>
  </si>
  <si>
    <t>InstOverhead new card in hottub</t>
  </si>
  <si>
    <t>InstOverhead new diferential switch and connections jacuzzi</t>
  </si>
  <si>
    <t>InstOverheadation of power meter in storage - keep track of electricity consumption of the whole unit</t>
  </si>
  <si>
    <t>Change pistons kitchen drawers S + instOverhead aluminium piece on the base of upstairs door S</t>
  </si>
  <si>
    <t>Repaint metal base inside Overheaduminium door water heater</t>
  </si>
  <si>
    <t>New lock of upstairs door + instOverhead it</t>
  </si>
  <si>
    <t>InstOverhead Water pressurizer</t>
  </si>
  <si>
    <t>InstOverhead new drain valves jacuzzi (2 pieces replaced)</t>
  </si>
  <si>
    <t>InstOverhead new pistons for shelf s</t>
  </si>
  <si>
    <t>InstOverheadation New pump rooftop pool</t>
  </si>
  <si>
    <t>Empty Overhead jacuzzis and pools to half</t>
  </si>
  <si>
    <t>Save Overhead chairs, sunchairs, tables, etc.. of the balconies and terraces inside units + place tape on glasses + tapes</t>
  </si>
  <si>
    <t>Taking off tape from Overhead windows</t>
  </si>
  <si>
    <t>InstOverhead control jacuzzi in wOverhead</t>
  </si>
  <si>
    <t>Water jars for Overhead apts + bringing them up</t>
  </si>
  <si>
    <t>Laundry Overhead curtains and covers of couch + deep cleaning couch</t>
  </si>
  <si>
    <t>New smOverhead lock for one of the door lounge</t>
  </si>
  <si>
    <t>Laundry 2 bedrooms - Overhead couch covers</t>
  </si>
  <si>
    <t>Electric material for instOverheadation water heater</t>
  </si>
  <si>
    <t>InstOverheadation water heater</t>
  </si>
  <si>
    <t>UninstOverhead and reinstOverhead jacuzzi equipment - replace some damaged cables - replace jets on switch</t>
  </si>
  <si>
    <t>Gum at the bottom of rooftop door to avoid water to get in when it rains with lot of wind - material and instOverheadation</t>
  </si>
  <si>
    <t>Deep cleaning of shower heads, sinks Overhead 3 apts</t>
  </si>
  <si>
    <t>Paint tv wOverhead + deep cleaning upstairs wc</t>
  </si>
  <si>
    <t>InstOverhead new hinges and closures of jacuzzi and pool doors - material</t>
  </si>
  <si>
    <t>Repair pool (deep cleaniing and replace Overhead missing tiles)</t>
  </si>
  <si>
    <t>Repair rooftop pool wOverhead a</t>
  </si>
  <si>
    <t>Repair wOverhead beside jacuzzi - work + material</t>
  </si>
  <si>
    <t>water jars for Overhead units + bringing them up</t>
  </si>
  <si>
    <t>Water jars for Overhead units + bringing them up</t>
  </si>
  <si>
    <t>Repair wc (new piece + instOverheadation)</t>
  </si>
  <si>
    <t>Move Overhead things out and back in from storage to check washingmachiine</t>
  </si>
  <si>
    <t>Repair Overheaduminium glass door</t>
  </si>
  <si>
    <t>TYPE</t>
  </si>
  <si>
    <t>Apt</t>
  </si>
  <si>
    <t>Income</t>
  </si>
  <si>
    <t>Exp_Direct</t>
  </si>
  <si>
    <t>Pct_Income</t>
  </si>
  <si>
    <t>Shared_Total</t>
  </si>
  <si>
    <t>Total_Exp</t>
  </si>
  <si>
    <t>Month</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</si>
  <si>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</si>
  <si>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</si>
  <si>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</si>
  <si>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</si>
  <si>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</si>
  <si>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</si>
  <si>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</si>
  <si>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</si>
  <si>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</si>
  <si>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</si>
  <si>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</si>
  <si>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</si>
  <si>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</si>
  <si>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</si>
  <si>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</si>
  <si>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</si>
  <si>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</si>
  <si>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</si>
  <si>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</si>
  <si>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</si>
  <si>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</si>
  <si>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</si>
  <si>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</si>
  <si>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</si>
  <si>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</si>
  <si>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</si>
  <si>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</si>
  <si>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</si>
  <si>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</si>
  <si>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</si>
  <si>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</si>
  <si>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</si>
  <si>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</si>
  <si>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</si>
  <si>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</si>
  <si>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</si>
  <si>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</si>
  <si>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</si>
  <si>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</si>
  <si>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</si>
  <si>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</si>
  <si>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</si>
  <si>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</si>
  <si>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</si>
  <si>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</si>
  <si>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</si>
  <si>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</si>
  <si>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</si>
  <si>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</si>
  <si>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</si>
  <si>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</si>
  <si>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MONTH</t>
  </si>
  <si>
    <t>Margin%</t>
  </si>
  <si>
    <t>Shared_Assigned</t>
  </si>
  <si>
    <t>Total_Profit</t>
  </si>
  <si>
    <t>Rental_Platform</t>
  </si>
  <si>
    <t>Profit_or_Loss</t>
  </si>
  <si>
    <t>Margin_Total %</t>
  </si>
  <si>
    <t>Num_Nights</t>
  </si>
  <si>
    <t>Days_in_month</t>
  </si>
  <si>
    <t>Unavailable_days</t>
  </si>
  <si>
    <t>Available_nights</t>
  </si>
  <si>
    <t>Booked_Nights</t>
  </si>
  <si>
    <t>Available _Nights</t>
  </si>
  <si>
    <t>Occupancy_Rate</t>
  </si>
  <si>
    <t>Avg_Occupancy_Rate</t>
  </si>
  <si>
    <t>APT</t>
  </si>
  <si>
    <t>Direct reservation</t>
  </si>
  <si>
    <t>2022-01</t>
  </si>
  <si>
    <t>2022-02</t>
  </si>
  <si>
    <t>Avg_Daily_Rate</t>
  </si>
  <si>
    <t>Expense_Ratio%</t>
  </si>
  <si>
    <t>Rev_per_Av_Night</t>
  </si>
  <si>
    <t>Avg_RevPAN</t>
  </si>
  <si>
    <t>Avg_ADR</t>
  </si>
  <si>
    <t>CORE KPIs</t>
  </si>
  <si>
    <t>TRENDS</t>
  </si>
  <si>
    <t>Profit_by_Year</t>
  </si>
  <si>
    <t>Occupancy_by_Year</t>
  </si>
  <si>
    <r>
      <t xml:space="preserve"> </t>
    </r>
    <r>
      <rPr>
        <b/>
        <sz val="12"/>
        <color theme="1"/>
        <rFont val="Calibri"/>
        <family val="2"/>
        <scheme val="minor"/>
      </rPr>
      <t xml:space="preserve">BREAKDOWNS </t>
    </r>
  </si>
  <si>
    <t xml:space="preserve">Avg_Occupancy_Rate </t>
  </si>
  <si>
    <t>Apt_Comparison</t>
  </si>
  <si>
    <t>Profit_Total</t>
  </si>
  <si>
    <t>Sum of Total_Margin %</t>
  </si>
  <si>
    <t>VACATION RENTAL PERFORMANCE DASHBOARD (2022-2026)</t>
  </si>
  <si>
    <t xml:space="preserve"> </t>
  </si>
  <si>
    <t>Income by Rental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</si>
</sst>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3" x14ac:knownFonts="1">
    <font>
      <sz val="12"/>
      <color theme="1"/>
      <name val="Calibri"/>
      <family val="2"/>
      <scheme val="minor"/>
    </font>
    <font>
      <b/>
      <sz val="10"/>
      <color theme="1"/>
      <name val="Arial"/>
      <family val="2"/>
    </font>
    <font>
      <sz val="10"/>
      <color theme="1"/>
      <name val="Arial"/>
      <family val="2"/>
    </font>
    <font>
      <u/>
      <sz val="10"/>
      <color rgb="FF1155CC"/>
      <name val="Arial"/>
      <family val="2"/>
    </font>
    <font>
      <b/>
      <sz val="8"/>
      <color theme="1"/>
      <name val="Arial"/>
      <family val="2"/>
    </font>
    <font>
      <sz val="8"/>
      <color theme="1"/>
      <name val="Arial"/>
      <family val="2"/>
    </font>
    <font>
      <sz val="8"/>
      <name val="Calibri"/>
      <family val="2"/>
      <scheme val="minor"/>
    </font>
    <font>
      <b/>
      <sz val="12"/>
      <color theme="1"/>
      <name val="Calibri"/>
      <family val="2"/>
      <scheme val="minor"/>
    </font>
    <font>
      <b/>
      <sz val="12"/>
      <color theme="1"/>
      <name val="Calibri"/>
      <family val="2"/>
      <scheme val="minor"/>
    </font>
    <font>
      <sz val="8"/>
      <color rgb="FF12501A"/>
      <name val="Arial"/>
      <family val="2"/>
    </font>
    <font>
      <sz val="10"/>
      <color theme="1"/>
      <name val="Calibri"/>
      <family val="2"/>
      <scheme val="minor"/>
    </font>
    <font>
      <sz val="12"/>
      <color theme="1"/>
      <name val="Calibri"/>
      <family val="2"/>
      <scheme val="minor"/>
    </font>
    <font>
      <b/>
      <sz val="34"/>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34">
    <xf numFmtId="0" fontId="0" fillId="0" borderId="0" xfId="0"/>
    <xf numFmtId="0" fontId="2" fillId="0" borderId="0" xfId="0" applyFont="1"/>
    <xf numFmtId="14" fontId="2" fillId="0" borderId="0" xfId="0" applyNumberFormat="1" applyFont="1"/>
    <xf numFmtId="0" fontId="3" fillId="0" borderId="0" xfId="0" applyFont="1"/>
    <xf numFmtId="164" fontId="2" fillId="0" borderId="0" xfId="0" applyNumberFormat="1" applyFont="1"/>
    <xf numFmtId="164" fontId="0" fillId="0" borderId="0" xfId="0" applyNumberFormat="1"/>
    <xf numFmtId="0" fontId="4" fillId="0" borderId="0" xfId="0" applyFont="1"/>
    <xf numFmtId="0" fontId="5" fillId="0" borderId="0" xfId="0" applyFont="1"/>
    <xf numFmtId="3" fontId="5" fillId="0" borderId="0" xfId="0" applyNumberFormat="1" applyFont="1"/>
    <xf numFmtId="14" fontId="4" fillId="0" borderId="0" xfId="0" applyNumberFormat="1" applyFont="1"/>
    <xf numFmtId="14" fontId="5" fillId="0" borderId="0" xfId="0" applyNumberFormat="1" applyFont="1"/>
    <xf numFmtId="0" fontId="0" fillId="0" borderId="0" xfId="0" pivotButton="1"/>
    <xf numFmtId="0" fontId="0" fillId="0" borderId="0" xfId="0" applyAlignment="1">
      <alignment horizontal="left"/>
    </xf>
    <xf numFmtId="14" fontId="0" fillId="0" borderId="0" xfId="0" applyNumberFormat="1"/>
    <xf numFmtId="164" fontId="5" fillId="0" borderId="0" xfId="0" applyNumberFormat="1" applyFont="1"/>
    <xf numFmtId="164" fontId="8" fillId="0" borderId="0" xfId="0" applyNumberFormat="1" applyFont="1"/>
    <xf numFmtId="0" fontId="8" fillId="0" borderId="0" xfId="0" applyFont="1"/>
    <xf numFmtId="10" fontId="8" fillId="0" borderId="0" xfId="0" applyNumberFormat="1" applyFont="1"/>
    <xf numFmtId="10" fontId="0" fillId="0" borderId="0" xfId="0" applyNumberFormat="1"/>
    <xf numFmtId="0" fontId="1" fillId="2" borderId="0" xfId="0" applyFont="1" applyFill="1"/>
    <xf numFmtId="164" fontId="1" fillId="2" borderId="0" xfId="0" applyNumberFormat="1" applyFont="1" applyFill="1"/>
    <xf numFmtId="0" fontId="0" fillId="2" borderId="0" xfId="0" applyFill="1"/>
    <xf numFmtId="0" fontId="7" fillId="0" borderId="0" xfId="0" applyFont="1"/>
    <xf numFmtId="14" fontId="9" fillId="0" borderId="0" xfId="0" applyNumberFormat="1" applyFont="1"/>
    <xf numFmtId="14" fontId="10" fillId="0" borderId="0" xfId="0" applyNumberFormat="1" applyFont="1"/>
    <xf numFmtId="0" fontId="1" fillId="0" borderId="0" xfId="0" applyFont="1"/>
    <xf numFmtId="164" fontId="7" fillId="0" borderId="0" xfId="0" applyNumberFormat="1" applyFont="1"/>
    <xf numFmtId="14" fontId="1" fillId="2" borderId="0" xfId="0" applyNumberFormat="1" applyFont="1" applyFill="1"/>
    <xf numFmtId="0" fontId="11" fillId="0" borderId="0" xfId="0" applyFont="1"/>
    <xf numFmtId="164" fontId="11" fillId="0" borderId="0" xfId="0" applyNumberFormat="1" applyFont="1"/>
    <xf numFmtId="10" fontId="11" fillId="0" borderId="0" xfId="0" applyNumberFormat="1" applyFont="1"/>
    <xf numFmtId="14" fontId="8" fillId="0" borderId="0" xfId="0" applyNumberFormat="1" applyFont="1"/>
    <xf numFmtId="0" fontId="0" fillId="3" borderId="0" xfId="0" applyFill="1"/>
    <xf numFmtId="0" fontId="12" fillId="4" borderId="0" xfId="0" applyFont="1" applyFill="1" applyAlignment="1">
      <alignment horizontal="center" vertical="center"/>
    </xf>
  </cellXfs>
  <cellStyles count="1">
    <cellStyle name="Normal" xfId="0" builtinId="0"/>
  </cellStyles>
  <dxfs count="40">
    <dxf>
      <font>
        <b/>
        <color theme="1"/>
      </font>
      <border>
        <bottom style="thin">
          <color theme="4"/>
        </bottom>
        <vertical/>
        <horizontal/>
      </border>
    </dxf>
    <dxf>
      <font>
        <color theme="1"/>
      </font>
      <fill>
        <patternFill>
          <bgColor theme="2"/>
        </patternFill>
      </fill>
      <border diagonalUp="0" diagonalDown="0">
        <left/>
        <right/>
        <top/>
        <bottom/>
        <vertical/>
        <horizontal/>
      </border>
    </dxf>
    <dxf>
      <font>
        <color rgb="FF9C0006"/>
      </font>
      <fill>
        <patternFill>
          <bgColor rgb="FFFFC7CE"/>
        </patternFill>
      </fill>
    </dxf>
    <dxf>
      <font>
        <color rgb="FF006100"/>
      </font>
      <fill>
        <patternFill>
          <bgColor rgb="FFC6EFCE"/>
        </patternFill>
      </fill>
    </dxf>
    <dxf>
      <numFmt numFmtId="14" formatCode="0.00%"/>
    </dxf>
    <dxf>
      <font>
        <b val="0"/>
        <i val="0"/>
        <strike val="0"/>
        <condense val="0"/>
        <extend val="0"/>
        <outline val="0"/>
        <shadow val="0"/>
        <u val="none"/>
        <vertAlign val="baseline"/>
        <sz val="12"/>
        <color theme="1"/>
        <name val="Calibri"/>
        <scheme val="minor"/>
      </font>
      <numFmt numFmtId="164" formatCode="&quot;$&quot;#,##0.00"/>
    </dxf>
    <dxf>
      <numFmt numFmtId="164" formatCode="&quot;$&quot;#,##0.00"/>
    </dxf>
    <dxf>
      <numFmt numFmtId="14" formatCode="0.00%"/>
    </dxf>
    <dxf>
      <numFmt numFmtId="0" formatCode="General"/>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0" formatCode="General"/>
    </dxf>
    <dxf>
      <numFmt numFmtId="164" formatCode="&quot;$&quot;#,##0.00"/>
    </dxf>
    <dxf>
      <numFmt numFmtId="19" formatCode="dd/mm/yy"/>
    </dxf>
    <dxf>
      <font>
        <b/>
        <i val="0"/>
        <strike val="0"/>
        <condense val="0"/>
        <extend val="0"/>
        <outline val="0"/>
        <shadow val="0"/>
        <u val="none"/>
        <vertAlign val="baseline"/>
        <sz val="12"/>
        <color theme="1"/>
        <name val="Calibri"/>
        <scheme val="minor"/>
      </font>
    </dxf>
    <dxf>
      <numFmt numFmtId="19" formatCode="dd/mm/yy"/>
    </dxf>
    <dxf>
      <font>
        <b val="0"/>
        <i val="0"/>
        <strike val="0"/>
        <condense val="0"/>
        <extend val="0"/>
        <outline val="0"/>
        <shadow val="0"/>
        <u val="none"/>
        <vertAlign val="baseline"/>
        <sz val="10"/>
        <color theme="1"/>
        <name val="Arial"/>
        <family val="2"/>
        <scheme val="none"/>
      </font>
      <numFmt numFmtId="164" formatCode="&quot;$&quot;#,##0.0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19" formatCode="dd/mm/yy"/>
    </dxf>
    <dxf>
      <font>
        <b/>
        <i val="0"/>
        <strike val="0"/>
        <condense val="0"/>
        <extend val="0"/>
        <outline val="0"/>
        <shadow val="0"/>
        <u val="none"/>
        <vertAlign val="baseline"/>
        <sz val="10"/>
        <color theme="1"/>
        <name val="Arial"/>
        <family val="2"/>
        <scheme val="none"/>
      </font>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19" formatCode="dd/mm/yy"/>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numFmt numFmtId="3" formatCode="#,##0"/>
    </dxf>
    <dxf>
      <font>
        <b val="0"/>
        <i val="0"/>
        <strike val="0"/>
        <condense val="0"/>
        <extend val="0"/>
        <outline val="0"/>
        <shadow val="0"/>
        <u val="none"/>
        <vertAlign val="baseline"/>
        <sz val="8"/>
        <color theme="1"/>
        <name val="Arial"/>
        <family val="2"/>
        <scheme val="none"/>
      </font>
      <numFmt numFmtId="164" formatCode="&quot;$&quot;#,##0.00"/>
    </dxf>
    <dxf>
      <font>
        <b val="0"/>
        <i val="0"/>
        <strike val="0"/>
        <condense val="0"/>
        <extend val="0"/>
        <outline val="0"/>
        <shadow val="0"/>
        <u val="none"/>
        <vertAlign val="baseline"/>
        <sz val="8"/>
        <color theme="1"/>
        <name val="Arial"/>
        <family val="2"/>
        <scheme val="none"/>
      </font>
      <numFmt numFmtId="164" formatCode="&quot;$&quot;#,##0.00"/>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numFmt numFmtId="19" formatCode="dd/mm/yy"/>
    </dxf>
    <dxf>
      <font>
        <b val="0"/>
        <i val="0"/>
        <strike val="0"/>
        <condense val="0"/>
        <extend val="0"/>
        <outline val="0"/>
        <shadow val="0"/>
        <u val="none"/>
        <vertAlign val="baseline"/>
        <sz val="8"/>
        <color theme="1"/>
        <name val="Arial"/>
        <family val="2"/>
        <scheme val="none"/>
      </font>
      <numFmt numFmtId="19" formatCode="dd/mm/yy"/>
    </dxf>
    <dxf>
      <font>
        <b val="0"/>
        <i val="0"/>
        <strike val="0"/>
        <condense val="0"/>
        <extend val="0"/>
        <outline val="0"/>
        <shadow val="0"/>
        <u val="none"/>
        <vertAlign val="baseline"/>
        <sz val="8"/>
        <color theme="1"/>
        <name val="Arial"/>
        <family val="2"/>
        <scheme val="none"/>
      </font>
      <numFmt numFmtId="19" formatCode="dd/mm/yy"/>
    </dxf>
    <dxf>
      <font>
        <b val="0"/>
        <i val="0"/>
        <strike val="0"/>
        <condense val="0"/>
        <extend val="0"/>
        <outline val="0"/>
        <shadow val="0"/>
        <u val="none"/>
        <vertAlign val="baseline"/>
        <sz val="8"/>
        <color theme="1"/>
        <name val="Arial"/>
        <family val="2"/>
        <scheme val="none"/>
      </font>
    </dxf>
    <dxf>
      <font>
        <b/>
        <i val="0"/>
        <strike val="0"/>
        <condense val="0"/>
        <extend val="0"/>
        <outline val="0"/>
        <shadow val="0"/>
        <u val="none"/>
        <vertAlign val="baseline"/>
        <sz val="8"/>
        <color theme="1"/>
        <name val="Arial"/>
        <family val="2"/>
        <scheme val="none"/>
      </font>
    </dxf>
    <dxf>
      <font>
        <b/>
        <color theme="1"/>
      </font>
      <border>
        <bottom style="thin">
          <color theme="4"/>
        </bottom>
        <vertical/>
        <horizontal/>
      </border>
    </dxf>
    <dxf>
      <font>
        <color theme="1"/>
      </font>
      <fill>
        <patternFill>
          <bgColor theme="2"/>
        </patternFill>
      </fill>
      <border diagonalUp="0" diagonalDown="0">
        <left/>
        <right/>
        <top/>
        <bottom/>
        <vertical/>
        <horizontal/>
      </border>
    </dxf>
  </dxfs>
  <tableStyles count="2" defaultTableStyle="TableStyleMedium2" defaultPivotStyle="PivotStyleLight16">
    <tableStyle name="NewStyle" pivot="0" table="0" count="10" xr9:uid="{09101C5B-871C-9945-A630-2B8614F70E03}">
      <tableStyleElement type="wholeTable" dxfId="39"/>
      <tableStyleElement type="headerRow" dxfId="38"/>
    </tableStyle>
    <tableStyle name="NewStyle1" pivot="0" table="0" count="10" xr9:uid="{54389F93-4FF7-544F-8FD1-32283C131D0F}">
      <tableStyleElement type="wholeTable" dxfId="1"/>
      <tableStyleElement type="headerRow" dxfId="0"/>
    </tableStyle>
  </tableStyles>
  <colors>
    <mruColors>
      <color rgb="FFD3A1FC"/>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ew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NewStyle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[Vacation Rental Analysis (2022-2026).xlsx]Analysis - Pivots!Total_Profit</c:name>
    <c:fmtId val="11"/>
  </c:pivotSource>
  <c:chart>
    <c:title>
      <c:tx>
        <c:rich>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r>
              <a:rPr lang="en-US" sz="1800" b="1">
                <a:solidFill>
                  <a:schemeClr val="accent5">
                    <a:lumMod val="75000"/>
                  </a:schemeClr>
                </a:solidFill>
              </a:rPr>
              <a:t>Profit_Total</a:t>
            </a:r>
          </a:p>
        </c:rich>
      </c:tx>
      <c:layout>
        <c:manualLayout>
          <c:xMode val="edge"/>
          <c:yMode val="edge"/>
          <c:x val="0.34263346989197524"/>
          <c:y val="1.067719453678834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endParaRPr lang="en-MX"/>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15:layout>
                <c:manualLayout>
                  <c:w val="0.24060444650301063"/>
                  <c:h val="0.11303092783505155"/>
                </c:manualLayout>
              </c15:layout>
            </c:ext>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15:layout>
                <c:manualLayout>
                  <c:w val="0.24060444650301063"/>
                  <c:h val="0.11303092783505155"/>
                </c:manualLayout>
              </c15:layout>
            </c:ext>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dLbl>
          <c:idx val="0"/>
          <c:layout>
            <c:manualLayout>
              <c:x val="-1.0707800320205364E-2"/>
              <c:y val="-8.4469728715118285E-3"/>
            </c:manualLayout>
          </c:layout>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15:layout>
                <c:manualLayout>
                  <c:w val="0.39051708396308821"/>
                  <c:h val="8.7689016773555006E-2"/>
                </c:manualLayout>
              </c15:layout>
            </c:ext>
          </c:extLst>
        </c:dLbl>
      </c:pivotFmt>
    </c:pivotFmts>
    <c:plotArea>
      <c:layout>
        <c:manualLayout>
          <c:layoutTarget val="inner"/>
          <c:xMode val="edge"/>
          <c:yMode val="edge"/>
          <c:x val="7.36920384951881E-2"/>
          <c:y val="0.21479203000057201"/>
          <c:w val="0.80130796150481187"/>
          <c:h val="0.7111340806870653"/>
        </c:manualLayout>
      </c:layout>
      <c:barChart>
        <c:barDir val="col"/>
        <c:grouping val="clustered"/>
        <c:varyColors val="0"/>
        <c:ser>
          <c:idx val="0"/>
          <c:order val="0"/>
          <c:tx>
            <c:strRef>
              <c:f>'Analysis - Pivots'!$B$8</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257B-E645-BD58-BF2913A83302}"/>
              </c:ext>
            </c:extLst>
          </c:dPt>
          <c:dLbls>
            <c:dLbl>
              <c:idx val="0"/>
              <c:layout>
                <c:manualLayout>
                  <c:x val="-1.0707800320205364E-2"/>
                  <c:y val="-8.4469728715118285E-3"/>
                </c:manualLayout>
              </c:layout>
              <c:showLegendKey val="0"/>
              <c:showVal val="1"/>
              <c:showCatName val="0"/>
              <c:showSerName val="0"/>
              <c:showPercent val="0"/>
              <c:showBubbleSize val="0"/>
              <c:extLst>
                <c:ext xmlns:c15="http://schemas.microsoft.com/office/drawing/2012/chart" uri="{CE6537A1-D6FC-4f65-9D91-7224C49458BB}">
                  <c15:layout>
                    <c:manualLayout>
                      <c:w val="0.39051708396308821"/>
                      <c:h val="8.7689016773555006E-2"/>
                    </c:manualLayout>
                  </c15:layout>
                </c:ext>
                <c:ext xmlns:c16="http://schemas.microsoft.com/office/drawing/2014/chart" uri="{C3380CC4-5D6E-409C-BE32-E72D297353CC}">
                  <c16:uniqueId val="{00000000-257B-E645-BD58-BF2913A83302}"/>
                </c:ext>
              </c:extLst>
            </c:dLbl>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Pivots'!$B$9</c:f>
              <c:strCache>
                <c:ptCount val="1"/>
                <c:pt idx="0">
                  <c:v>Total</c:v>
                </c:pt>
              </c:strCache>
            </c:strRef>
          </c:cat>
          <c:val>
            <c:numRef>
              <c:f>'Analysis - Pivots'!$B$9</c:f>
              <c:numCache>
                <c:formatCode>"$"#,##0.00</c:formatCode>
                <c:ptCount val="1"/>
                <c:pt idx="0">
                  <c:v>169615.83245538865</c:v>
                </c:pt>
              </c:numCache>
            </c:numRef>
          </c:val>
          <c:extLst>
            <c:ext xmlns:c16="http://schemas.microsoft.com/office/drawing/2014/chart" uri="{C3380CC4-5D6E-409C-BE32-E72D297353CC}">
              <c16:uniqueId val="{00000001-257B-E645-BD58-BF2913A83302}"/>
            </c:ext>
          </c:extLst>
        </c:ser>
        <c:dLbls>
          <c:showLegendKey val="0"/>
          <c:showVal val="0"/>
          <c:showCatName val="0"/>
          <c:showSerName val="0"/>
          <c:showPercent val="0"/>
          <c:showBubbleSize val="0"/>
        </c:dLbls>
        <c:gapWidth val="219"/>
        <c:overlap val="-27"/>
        <c:axId val="229371264"/>
        <c:axId val="183733312"/>
      </c:barChart>
      <c:catAx>
        <c:axId val="229371264"/>
        <c:scaling>
          <c:orientation val="minMax"/>
        </c:scaling>
        <c:delete val="1"/>
        <c:axPos val="b"/>
        <c:numFmt formatCode="General" sourceLinked="1"/>
        <c:majorTickMark val="none"/>
        <c:minorTickMark val="none"/>
        <c:tickLblPos val="nextTo"/>
        <c:crossAx val="183733312"/>
        <c:crosses val="autoZero"/>
        <c:auto val="1"/>
        <c:lblAlgn val="ctr"/>
        <c:lblOffset val="100"/>
        <c:noMultiLvlLbl val="0"/>
      </c:catAx>
      <c:valAx>
        <c:axId val="183733312"/>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22937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342722" sx="102000" sy="102000" algn="ctr" rotWithShape="0">
        <a:prstClr val="black">
          <a:alpha val="40000"/>
        </a:prstClr>
      </a:outerShdw>
    </a:effectLst>
  </c:spPr>
  <c:txPr>
    <a:bodyPr/>
    <a:lstStyle/>
    <a:p>
      <a:pPr>
        <a:defRPr sz="1400"/>
      </a:pPr>
      <a:endParaRPr lang="en-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[Vacation Rental Analysis (2022-2026).xlsx]Analysis - Pivots!Margin_Total%</c:name>
    <c:fmtId val="3"/>
  </c:pivotSource>
  <c:chart>
    <c:title>
      <c:tx>
        <c:rich>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r>
              <a:rPr lang="en-US" sz="1800" b="1">
                <a:solidFill>
                  <a:schemeClr val="accent5">
                    <a:lumMod val="75000"/>
                  </a:schemeClr>
                </a:solidFill>
              </a:rPr>
              <a:t>Margin_Total%</a:t>
            </a:r>
          </a:p>
        </c:rich>
      </c:tx>
      <c:layout>
        <c:manualLayout>
          <c:xMode val="edge"/>
          <c:yMode val="edge"/>
          <c:x val="0.32278597419007615"/>
          <c:y val="2.028397565922920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endParaRPr lang="en-MX"/>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s>
    <c:plotArea>
      <c:layout>
        <c:manualLayout>
          <c:layoutTarget val="inner"/>
          <c:xMode val="edge"/>
          <c:yMode val="edge"/>
          <c:x val="3.8632986627043092E-2"/>
          <c:y val="0.23933012202698087"/>
          <c:w val="0.8424962852897474"/>
          <c:h val="0.71198845579265657"/>
        </c:manualLayout>
      </c:layout>
      <c:barChart>
        <c:barDir val="col"/>
        <c:grouping val="clustered"/>
        <c:varyColors val="0"/>
        <c:ser>
          <c:idx val="0"/>
          <c:order val="0"/>
          <c:tx>
            <c:strRef>
              <c:f>'Analysis - Pivots'!$B$30</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1-E942-174B-9D8F-0D0EF6788627}"/>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Pivots'!$B$31</c:f>
              <c:strCache>
                <c:ptCount val="1"/>
                <c:pt idx="0">
                  <c:v>Total</c:v>
                </c:pt>
              </c:strCache>
            </c:strRef>
          </c:cat>
          <c:val>
            <c:numRef>
              <c:f>'Analysis - Pivots'!$B$31</c:f>
              <c:numCache>
                <c:formatCode>0.00%</c:formatCode>
                <c:ptCount val="1"/>
                <c:pt idx="0">
                  <c:v>0.1444870247731132</c:v>
                </c:pt>
              </c:numCache>
            </c:numRef>
          </c:val>
          <c:extLst>
            <c:ext xmlns:c16="http://schemas.microsoft.com/office/drawing/2014/chart" uri="{C3380CC4-5D6E-409C-BE32-E72D297353CC}">
              <c16:uniqueId val="{00000000-E942-174B-9D8F-0D0EF6788627}"/>
            </c:ext>
          </c:extLst>
        </c:ser>
        <c:dLbls>
          <c:showLegendKey val="0"/>
          <c:showVal val="0"/>
          <c:showCatName val="0"/>
          <c:showSerName val="0"/>
          <c:showPercent val="0"/>
          <c:showBubbleSize val="0"/>
        </c:dLbls>
        <c:gapWidth val="219"/>
        <c:overlap val="-27"/>
        <c:axId val="439752832"/>
        <c:axId val="390599488"/>
      </c:barChart>
      <c:catAx>
        <c:axId val="439752832"/>
        <c:scaling>
          <c:orientation val="minMax"/>
        </c:scaling>
        <c:delete val="1"/>
        <c:axPos val="b"/>
        <c:numFmt formatCode="General" sourceLinked="1"/>
        <c:majorTickMark val="none"/>
        <c:minorTickMark val="none"/>
        <c:tickLblPos val="nextTo"/>
        <c:crossAx val="390599488"/>
        <c:crosses val="autoZero"/>
        <c:auto val="1"/>
        <c:lblAlgn val="ctr"/>
        <c:lblOffset val="100"/>
        <c:noMultiLvlLbl val="0"/>
      </c:catAx>
      <c:valAx>
        <c:axId val="390599488"/>
        <c:scaling>
          <c:orientation val="minMax"/>
        </c:scaling>
        <c:delete val="1"/>
        <c:axPos val="l"/>
        <c:numFmt formatCode="0.00%" sourceLinked="1"/>
        <c:majorTickMark val="none"/>
        <c:minorTickMark val="none"/>
        <c:tickLblPos val="nextTo"/>
        <c:crossAx val="43975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330200" sx="102000" sy="102000" algn="ctr" rotWithShape="0">
        <a:prstClr val="black">
          <a:alpha val="40000"/>
        </a:prstClr>
      </a:outerShdw>
    </a:effectLst>
  </c:spPr>
  <c:txPr>
    <a:bodyPr/>
    <a:lstStyle/>
    <a:p>
      <a:pPr>
        <a:defRPr sz="1400"/>
      </a:pPr>
      <a:endParaRPr lang="en-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[Vacation Rental Analysis (2022-2026).xlsx]Analysis - Pivots!Avg_Occupancy_Rate</c:name>
    <c:fmtId val="4"/>
  </c:pivotSource>
  <c:chart>
    <c:title>
      <c:tx>
        <c:rich>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r>
              <a:rPr lang="en-US" sz="1800" b="1">
                <a:solidFill>
                  <a:schemeClr val="accent5">
                    <a:lumMod val="75000"/>
                  </a:schemeClr>
                </a:solidFill>
              </a:rPr>
              <a:t>Avg_Occupancy_Rate</a:t>
            </a:r>
          </a:p>
        </c:rich>
      </c:tx>
      <c:layout>
        <c:manualLayout>
          <c:xMode val="edge"/>
          <c:yMode val="edge"/>
          <c:x val="0.28045907456012448"/>
          <c:y val="3.058851376454655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endParaRPr lang="en-MX"/>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C000"/>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C000"/>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pivotFmt>
    </c:pivotFmts>
    <c:plotArea>
      <c:layout>
        <c:manualLayout>
          <c:layoutTarget val="inner"/>
          <c:xMode val="edge"/>
          <c:yMode val="edge"/>
          <c:x val="0.10149253731343283"/>
          <c:y val="0.22326450922103347"/>
          <c:w val="0.76417910447761195"/>
          <c:h val="0.72367416339330315"/>
        </c:manualLayout>
      </c:layout>
      <c:barChart>
        <c:barDir val="col"/>
        <c:grouping val="clustered"/>
        <c:varyColors val="0"/>
        <c:ser>
          <c:idx val="0"/>
          <c:order val="0"/>
          <c:tx>
            <c:strRef>
              <c:f>'Analysis - Pivots'!$B$52</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1-9906-D147-9D91-79CED81515D6}"/>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Pivots'!$B$53</c:f>
              <c:strCache>
                <c:ptCount val="1"/>
                <c:pt idx="0">
                  <c:v>Total</c:v>
                </c:pt>
              </c:strCache>
            </c:strRef>
          </c:cat>
          <c:val>
            <c:numRef>
              <c:f>'Analysis - Pivots'!$B$53</c:f>
              <c:numCache>
                <c:formatCode>0.00%</c:formatCode>
                <c:ptCount val="1"/>
                <c:pt idx="0">
                  <c:v>0.3770960904923169</c:v>
                </c:pt>
              </c:numCache>
            </c:numRef>
          </c:val>
          <c:extLst>
            <c:ext xmlns:c16="http://schemas.microsoft.com/office/drawing/2014/chart" uri="{C3380CC4-5D6E-409C-BE32-E72D297353CC}">
              <c16:uniqueId val="{00000000-9906-D147-9D91-79CED81515D6}"/>
            </c:ext>
          </c:extLst>
        </c:ser>
        <c:dLbls>
          <c:showLegendKey val="0"/>
          <c:showVal val="0"/>
          <c:showCatName val="0"/>
          <c:showSerName val="0"/>
          <c:showPercent val="0"/>
          <c:showBubbleSize val="0"/>
        </c:dLbls>
        <c:gapWidth val="219"/>
        <c:overlap val="-27"/>
        <c:axId val="464960832"/>
        <c:axId val="247824832"/>
      </c:barChart>
      <c:catAx>
        <c:axId val="464960832"/>
        <c:scaling>
          <c:orientation val="minMax"/>
        </c:scaling>
        <c:delete val="1"/>
        <c:axPos val="b"/>
        <c:numFmt formatCode="General" sourceLinked="1"/>
        <c:majorTickMark val="none"/>
        <c:minorTickMark val="none"/>
        <c:tickLblPos val="nextTo"/>
        <c:crossAx val="247824832"/>
        <c:crosses val="autoZero"/>
        <c:auto val="1"/>
        <c:lblAlgn val="ctr"/>
        <c:lblOffset val="100"/>
        <c:noMultiLvlLbl val="0"/>
      </c:catAx>
      <c:valAx>
        <c:axId val="247824832"/>
        <c:scaling>
          <c:orientation val="minMax"/>
        </c:scaling>
        <c:delete val="1"/>
        <c:axPos val="l"/>
        <c:numFmt formatCode="0.00%" sourceLinked="1"/>
        <c:majorTickMark val="none"/>
        <c:minorTickMark val="none"/>
        <c:tickLblPos val="nextTo"/>
        <c:crossAx val="46496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330200" sx="102000" sy="102000" algn="ctr" rotWithShape="0">
        <a:prstClr val="black">
          <a:alpha val="40000"/>
        </a:prstClr>
      </a:outerShdw>
    </a:effectLst>
  </c:spPr>
  <c:txPr>
    <a:bodyPr/>
    <a:lstStyle/>
    <a:p>
      <a:pPr>
        <a:defRPr sz="1400"/>
      </a:pPr>
      <a:endParaRPr lang="en-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[Vacation Rental Analysis (2022-2026).xlsx]Analysis - Pivots!Avg_ADR</c:name>
    <c:fmtId val="2"/>
  </c:pivotSource>
  <c:chart>
    <c:title>
      <c:tx>
        <c:rich>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r>
              <a:rPr lang="en-US" sz="1800" b="1">
                <a:solidFill>
                  <a:schemeClr val="accent5">
                    <a:lumMod val="75000"/>
                  </a:schemeClr>
                </a:solidFill>
              </a:rPr>
              <a:t>Avg_Daily_Rate</a:t>
            </a:r>
          </a:p>
        </c:rich>
      </c:tx>
      <c:layout>
        <c:manualLayout>
          <c:xMode val="edge"/>
          <c:yMode val="edge"/>
          <c:x val="0.2847609543598717"/>
          <c:y val="4.316335458067741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endParaRPr lang="en-MX"/>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C000"/>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MX"/>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41001087667441"/>
          <c:y val="0.20040669486391224"/>
          <c:w val="0.73320686037505856"/>
          <c:h val="0.73988123767999092"/>
        </c:manualLayout>
      </c:layout>
      <c:barChart>
        <c:barDir val="col"/>
        <c:grouping val="clustered"/>
        <c:varyColors val="0"/>
        <c:ser>
          <c:idx val="0"/>
          <c:order val="0"/>
          <c:tx>
            <c:strRef>
              <c:f>'Analysis - Pivots'!$B$72</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 Pivots'!$B$73</c:f>
              <c:strCache>
                <c:ptCount val="1"/>
                <c:pt idx="0">
                  <c:v>Total</c:v>
                </c:pt>
              </c:strCache>
            </c:strRef>
          </c:cat>
          <c:val>
            <c:numRef>
              <c:f>'Analysis - Pivots'!$B$73</c:f>
              <c:numCache>
                <c:formatCode>"$"#,##0.00</c:formatCode>
                <c:ptCount val="1"/>
                <c:pt idx="0">
                  <c:v>2743.1384731814528</c:v>
                </c:pt>
              </c:numCache>
            </c:numRef>
          </c:val>
          <c:extLst>
            <c:ext xmlns:c16="http://schemas.microsoft.com/office/drawing/2014/chart" uri="{C3380CC4-5D6E-409C-BE32-E72D297353CC}">
              <c16:uniqueId val="{00000000-1041-6F42-B955-1684D87B35FA}"/>
            </c:ext>
          </c:extLst>
        </c:ser>
        <c:dLbls>
          <c:showLegendKey val="0"/>
          <c:showVal val="0"/>
          <c:showCatName val="0"/>
          <c:showSerName val="0"/>
          <c:showPercent val="0"/>
          <c:showBubbleSize val="0"/>
        </c:dLbls>
        <c:gapWidth val="219"/>
        <c:overlap val="-27"/>
        <c:axId val="464992256"/>
        <c:axId val="464989568"/>
      </c:barChart>
      <c:catAx>
        <c:axId val="464992256"/>
        <c:scaling>
          <c:orientation val="minMax"/>
        </c:scaling>
        <c:delete val="1"/>
        <c:axPos val="b"/>
        <c:numFmt formatCode="General" sourceLinked="1"/>
        <c:majorTickMark val="none"/>
        <c:minorTickMark val="none"/>
        <c:tickLblPos val="nextTo"/>
        <c:crossAx val="464989568"/>
        <c:crosses val="autoZero"/>
        <c:auto val="1"/>
        <c:lblAlgn val="ctr"/>
        <c:lblOffset val="100"/>
        <c:noMultiLvlLbl val="0"/>
      </c:catAx>
      <c:valAx>
        <c:axId val="464989568"/>
        <c:scaling>
          <c:orientation val="minMax"/>
        </c:scaling>
        <c:delete val="1"/>
        <c:axPos val="l"/>
        <c:numFmt formatCode="&quot;$&quot;#,##0.00" sourceLinked="1"/>
        <c:majorTickMark val="none"/>
        <c:minorTickMark val="none"/>
        <c:tickLblPos val="nextTo"/>
        <c:crossAx val="46499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330200" sx="102000" sy="102000" algn="ctr" rotWithShape="0">
        <a:prstClr val="black">
          <a:alpha val="40000"/>
        </a:prstClr>
      </a:outerShdw>
    </a:effectLst>
  </c:spPr>
  <c:txPr>
    <a:bodyPr/>
    <a:lstStyle/>
    <a:p>
      <a:pPr>
        <a:defRPr sz="1400"/>
      </a:pPr>
      <a:endParaRPr lang="en-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[Vacation Rental Analysis (2022-2026).xlsx]Analysis - Pivots!Profit_by_Year</c:name>
    <c:fmtId val="2"/>
  </c:pivotSource>
  <c:chart>
    <c:title>
      <c:tx>
        <c:rich>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r>
              <a:rPr lang="en-US" sz="1800" b="1">
                <a:solidFill>
                  <a:schemeClr val="accent5">
                    <a:lumMod val="75000"/>
                  </a:schemeClr>
                </a:solidFill>
              </a:rPr>
              <a:t>Profit_by_Year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3A1FC"/>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 - Pivots'!$C$94</c:f>
              <c:strCache>
                <c:ptCount val="1"/>
                <c:pt idx="0">
                  <c:v>Total</c:v>
                </c:pt>
              </c:strCache>
            </c:strRef>
          </c:tx>
          <c:spPr>
            <a:solidFill>
              <a:srgbClr val="D3A1FC"/>
            </a:solidFill>
            <a:ln w="25400">
              <a:noFill/>
            </a:ln>
            <a:effectLst/>
          </c:spPr>
          <c:cat>
            <c:strRef>
              <c:f>'Analysis - Pivots'!$B$95:$B$99</c:f>
              <c:strCache>
                <c:ptCount val="5"/>
                <c:pt idx="0">
                  <c:v>2022</c:v>
                </c:pt>
                <c:pt idx="1">
                  <c:v>2023</c:v>
                </c:pt>
                <c:pt idx="2">
                  <c:v>2024</c:v>
                </c:pt>
                <c:pt idx="3">
                  <c:v>2025</c:v>
                </c:pt>
                <c:pt idx="4">
                  <c:v>2026</c:v>
                </c:pt>
              </c:strCache>
            </c:strRef>
          </c:cat>
          <c:val>
            <c:numRef>
              <c:f>'Analysis - Pivots'!$C$95:$C$99</c:f>
              <c:numCache>
                <c:formatCode>"$"#,##0.00</c:formatCode>
                <c:ptCount val="5"/>
                <c:pt idx="0">
                  <c:v>115284.94863905325</c:v>
                </c:pt>
                <c:pt idx="1">
                  <c:v>130131.32898061858</c:v>
                </c:pt>
                <c:pt idx="2">
                  <c:v>-13784.469898099705</c:v>
                </c:pt>
                <c:pt idx="3">
                  <c:v>-51319.310302172598</c:v>
                </c:pt>
                <c:pt idx="4">
                  <c:v>-10696.664964010954</c:v>
                </c:pt>
              </c:numCache>
            </c:numRef>
          </c:val>
          <c:extLst>
            <c:ext xmlns:c16="http://schemas.microsoft.com/office/drawing/2014/chart" uri="{C3380CC4-5D6E-409C-BE32-E72D297353CC}">
              <c16:uniqueId val="{00000003-0E31-ED4A-A5EA-75CB50D70A01}"/>
            </c:ext>
          </c:extLst>
        </c:ser>
        <c:dLbls>
          <c:showLegendKey val="0"/>
          <c:showVal val="0"/>
          <c:showCatName val="0"/>
          <c:showSerName val="0"/>
          <c:showPercent val="0"/>
          <c:showBubbleSize val="0"/>
        </c:dLbls>
        <c:axId val="455327744"/>
        <c:axId val="382153856"/>
      </c:areaChart>
      <c:catAx>
        <c:axId val="45532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MX"/>
          </a:p>
        </c:txPr>
        <c:crossAx val="382153856"/>
        <c:crosses val="autoZero"/>
        <c:auto val="1"/>
        <c:lblAlgn val="ctr"/>
        <c:lblOffset val="100"/>
        <c:noMultiLvlLbl val="0"/>
      </c:catAx>
      <c:valAx>
        <c:axId val="38215385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MX"/>
          </a:p>
        </c:txPr>
        <c:crossAx val="4553277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330200" sx="102000" sy="102000" algn="ctr" rotWithShape="0">
        <a:prstClr val="black">
          <a:alpha val="40000"/>
        </a:prstClr>
      </a:outerShdw>
    </a:effectLst>
  </c:spPr>
  <c:txPr>
    <a:bodyPr/>
    <a:lstStyle/>
    <a:p>
      <a:pPr>
        <a:defRPr sz="1600"/>
      </a:pPr>
      <a:endParaRPr lang="en-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[Vacation Rental Analysis (2022-2026).xlsx]Analysis - Pivots!Occupancy_by_Year</c:name>
    <c:fmtId val="2"/>
  </c:pivotSource>
  <c:chart>
    <c:title>
      <c:tx>
        <c:rich>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r>
              <a:rPr lang="en-US" sz="1800" b="1">
                <a:solidFill>
                  <a:schemeClr val="accent5">
                    <a:lumMod val="75000"/>
                  </a:schemeClr>
                </a:solidFill>
              </a:rPr>
              <a:t>Occupancy_by_Year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endParaRPr lang="en-MX"/>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3A1FC"/>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 - Pivots'!$C$118</c:f>
              <c:strCache>
                <c:ptCount val="1"/>
                <c:pt idx="0">
                  <c:v>Total</c:v>
                </c:pt>
              </c:strCache>
            </c:strRef>
          </c:tx>
          <c:spPr>
            <a:solidFill>
              <a:srgbClr val="D3A1FC"/>
            </a:solidFill>
            <a:ln w="25400">
              <a:noFill/>
            </a:ln>
            <a:effectLst/>
          </c:spPr>
          <c:cat>
            <c:strRef>
              <c:f>'Analysis - Pivots'!$B$119:$B$123</c:f>
              <c:strCache>
                <c:ptCount val="5"/>
                <c:pt idx="0">
                  <c:v>2022</c:v>
                </c:pt>
                <c:pt idx="1">
                  <c:v>2023</c:v>
                </c:pt>
                <c:pt idx="2">
                  <c:v>2024</c:v>
                </c:pt>
                <c:pt idx="3">
                  <c:v>2025</c:v>
                </c:pt>
                <c:pt idx="4">
                  <c:v>2026</c:v>
                </c:pt>
              </c:strCache>
            </c:strRef>
          </c:cat>
          <c:val>
            <c:numRef>
              <c:f>'Analysis - Pivots'!$C$119:$C$123</c:f>
              <c:numCache>
                <c:formatCode>0.00%</c:formatCode>
                <c:ptCount val="5"/>
                <c:pt idx="0">
                  <c:v>0.41236772486772488</c:v>
                </c:pt>
                <c:pt idx="1">
                  <c:v>0.26178130511463843</c:v>
                </c:pt>
                <c:pt idx="2">
                  <c:v>0.74392043142043141</c:v>
                </c:pt>
                <c:pt idx="3">
                  <c:v>0.19089065255731918</c:v>
                </c:pt>
                <c:pt idx="4">
                  <c:v>0.13571428571428573</c:v>
                </c:pt>
              </c:numCache>
            </c:numRef>
          </c:val>
          <c:extLst>
            <c:ext xmlns:c16="http://schemas.microsoft.com/office/drawing/2014/chart" uri="{C3380CC4-5D6E-409C-BE32-E72D297353CC}">
              <c16:uniqueId val="{00000003-7CC4-0C4B-8779-16C656FCF3A7}"/>
            </c:ext>
          </c:extLst>
        </c:ser>
        <c:dLbls>
          <c:showLegendKey val="0"/>
          <c:showVal val="0"/>
          <c:showCatName val="0"/>
          <c:showSerName val="0"/>
          <c:showPercent val="0"/>
          <c:showBubbleSize val="0"/>
        </c:dLbls>
        <c:axId val="468326528"/>
        <c:axId val="455341184"/>
      </c:areaChart>
      <c:catAx>
        <c:axId val="4683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MX"/>
          </a:p>
        </c:txPr>
        <c:crossAx val="455341184"/>
        <c:crosses val="autoZero"/>
        <c:auto val="1"/>
        <c:lblAlgn val="ctr"/>
        <c:lblOffset val="100"/>
        <c:noMultiLvlLbl val="0"/>
      </c:catAx>
      <c:valAx>
        <c:axId val="4553411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MX"/>
          </a:p>
        </c:txPr>
        <c:crossAx val="4683265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330200" sx="102000" sy="102000" algn="ctr" rotWithShape="0">
        <a:prstClr val="black">
          <a:alpha val="40000"/>
        </a:prstClr>
      </a:outerShdw>
    </a:effectLst>
  </c:spPr>
  <c:txPr>
    <a:bodyPr/>
    <a:lstStyle/>
    <a:p>
      <a:pPr>
        <a:defRPr sz="1400"/>
      </a:pPr>
      <a:endParaRPr lang="en-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[Vacation Rental Analysis (2022-2026).xlsx]Analysis - Pivots!Income_by_Platform</c:name>
    <c:fmtId val="3"/>
  </c:pivotSource>
  <c:chart>
    <c:title>
      <c:tx>
        <c:rich>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r>
              <a:rPr lang="en-US" sz="1800" b="1">
                <a:solidFill>
                  <a:schemeClr val="accent5">
                    <a:lumMod val="75000"/>
                  </a:schemeClr>
                </a:solidFill>
              </a:rPr>
              <a:t>Income_by_Rental_Platform</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lumMod val="75000"/>
                </a:schemeClr>
              </a:solidFill>
              <a:latin typeface="+mn-lt"/>
              <a:ea typeface="+mn-ea"/>
              <a:cs typeface="+mn-cs"/>
            </a:defRPr>
          </a:pPr>
          <a:endParaRPr lang="en-MX"/>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C00000"/>
          </a:solidFill>
          <a:ln>
            <a:noFill/>
          </a:ln>
          <a:effectLst/>
        </c:spPr>
      </c:pivotFmt>
    </c:pivotFmts>
    <c:plotArea>
      <c:layout/>
      <c:barChart>
        <c:barDir val="col"/>
        <c:grouping val="stacked"/>
        <c:varyColors val="0"/>
        <c:ser>
          <c:idx val="0"/>
          <c:order val="0"/>
          <c:tx>
            <c:strRef>
              <c:f>'Analysis - Pivots'!$C$137:$C$138</c:f>
              <c:strCache>
                <c:ptCount val="1"/>
                <c:pt idx="0">
                  <c:v>Airbnb</c:v>
                </c:pt>
              </c:strCache>
            </c:strRef>
          </c:tx>
          <c:spPr>
            <a:solidFill>
              <a:schemeClr val="accent1">
                <a:lumMod val="60000"/>
                <a:lumOff val="40000"/>
              </a:schemeClr>
            </a:solidFill>
            <a:ln>
              <a:noFill/>
            </a:ln>
            <a:effectLst/>
          </c:spPr>
          <c:invertIfNegative val="0"/>
          <c:cat>
            <c:strRef>
              <c:f>'Analysis - Pivots'!$B$139:$B$143</c:f>
              <c:strCache>
                <c:ptCount val="5"/>
                <c:pt idx="0">
                  <c:v>2022</c:v>
                </c:pt>
                <c:pt idx="1">
                  <c:v>2023</c:v>
                </c:pt>
                <c:pt idx="2">
                  <c:v>2024</c:v>
                </c:pt>
                <c:pt idx="3">
                  <c:v>2025</c:v>
                </c:pt>
                <c:pt idx="4">
                  <c:v>2026</c:v>
                </c:pt>
              </c:strCache>
            </c:strRef>
          </c:cat>
          <c:val>
            <c:numRef>
              <c:f>'Analysis - Pivots'!$C$139:$C$143</c:f>
              <c:numCache>
                <c:formatCode>"$"#,##0.00</c:formatCode>
                <c:ptCount val="5"/>
                <c:pt idx="0">
                  <c:v>649674.79999999993</c:v>
                </c:pt>
                <c:pt idx="1">
                  <c:v>998953.6</c:v>
                </c:pt>
                <c:pt idx="2">
                  <c:v>570102.00000000012</c:v>
                </c:pt>
                <c:pt idx="3">
                  <c:v>300440.40000000002</c:v>
                </c:pt>
                <c:pt idx="4">
                  <c:v>124731.2</c:v>
                </c:pt>
              </c:numCache>
            </c:numRef>
          </c:val>
          <c:extLst>
            <c:ext xmlns:c16="http://schemas.microsoft.com/office/drawing/2014/chart" uri="{C3380CC4-5D6E-409C-BE32-E72D297353CC}">
              <c16:uniqueId val="{00000000-A3D4-694E-85D7-C1669EF58F7A}"/>
            </c:ext>
          </c:extLst>
        </c:ser>
        <c:ser>
          <c:idx val="1"/>
          <c:order val="1"/>
          <c:tx>
            <c:strRef>
              <c:f>'Analysis - Pivots'!$D$137:$D$138</c:f>
              <c:strCache>
                <c:ptCount val="1"/>
                <c:pt idx="0">
                  <c:v>Booking</c:v>
                </c:pt>
              </c:strCache>
            </c:strRef>
          </c:tx>
          <c:spPr>
            <a:solidFill>
              <a:schemeClr val="accent6">
                <a:lumMod val="75000"/>
              </a:schemeClr>
            </a:solidFill>
            <a:ln>
              <a:noFill/>
            </a:ln>
            <a:effectLst/>
          </c:spPr>
          <c:invertIfNegative val="0"/>
          <c:cat>
            <c:strRef>
              <c:f>'Analysis - Pivots'!$B$139:$B$143</c:f>
              <c:strCache>
                <c:ptCount val="5"/>
                <c:pt idx="0">
                  <c:v>2022</c:v>
                </c:pt>
                <c:pt idx="1">
                  <c:v>2023</c:v>
                </c:pt>
                <c:pt idx="2">
                  <c:v>2024</c:v>
                </c:pt>
                <c:pt idx="3">
                  <c:v>2025</c:v>
                </c:pt>
                <c:pt idx="4">
                  <c:v>2026</c:v>
                </c:pt>
              </c:strCache>
            </c:strRef>
          </c:cat>
          <c:val>
            <c:numRef>
              <c:f>'Analysis - Pivots'!$D$139:$D$143</c:f>
              <c:numCache>
                <c:formatCode>"$"#,##0.00</c:formatCode>
                <c:ptCount val="5"/>
                <c:pt idx="0">
                  <c:v>8960</c:v>
                </c:pt>
                <c:pt idx="1">
                  <c:v>7516.2</c:v>
                </c:pt>
                <c:pt idx="2">
                  <c:v>93218.599999999991</c:v>
                </c:pt>
                <c:pt idx="3">
                  <c:v>11753.8</c:v>
                </c:pt>
                <c:pt idx="4">
                  <c:v>11462.8</c:v>
                </c:pt>
              </c:numCache>
            </c:numRef>
          </c:val>
          <c:extLst>
            <c:ext xmlns:c16="http://schemas.microsoft.com/office/drawing/2014/chart" uri="{C3380CC4-5D6E-409C-BE32-E72D297353CC}">
              <c16:uniqueId val="{00000000-191D-044F-90CF-CD8B9896F7E5}"/>
            </c:ext>
          </c:extLst>
        </c:ser>
        <c:ser>
          <c:idx val="2"/>
          <c:order val="2"/>
          <c:tx>
            <c:strRef>
              <c:f>'Analysis - Pivots'!$E$137:$E$138</c:f>
              <c:strCache>
                <c:ptCount val="1"/>
                <c:pt idx="0">
                  <c:v>Direct Reservation</c:v>
                </c:pt>
              </c:strCache>
            </c:strRef>
          </c:tx>
          <c:spPr>
            <a:solidFill>
              <a:schemeClr val="accent6">
                <a:lumMod val="75000"/>
              </a:schemeClr>
            </a:solidFill>
            <a:ln>
              <a:noFill/>
            </a:ln>
            <a:effectLst/>
          </c:spPr>
          <c:invertIfNegative val="0"/>
          <c:dPt>
            <c:idx val="2"/>
            <c:invertIfNegative val="0"/>
            <c:bubble3D val="0"/>
            <c:spPr>
              <a:solidFill>
                <a:srgbClr val="C00000"/>
              </a:solidFill>
              <a:ln>
                <a:noFill/>
              </a:ln>
              <a:effectLst/>
            </c:spPr>
            <c:extLst>
              <c:ext xmlns:c16="http://schemas.microsoft.com/office/drawing/2014/chart" uri="{C3380CC4-5D6E-409C-BE32-E72D297353CC}">
                <c16:uniqueId val="{00000008-191D-044F-90CF-CD8B9896F7E5}"/>
              </c:ext>
            </c:extLst>
          </c:dPt>
          <c:cat>
            <c:strRef>
              <c:f>'Analysis - Pivots'!$B$139:$B$143</c:f>
              <c:strCache>
                <c:ptCount val="5"/>
                <c:pt idx="0">
                  <c:v>2022</c:v>
                </c:pt>
                <c:pt idx="1">
                  <c:v>2023</c:v>
                </c:pt>
                <c:pt idx="2">
                  <c:v>2024</c:v>
                </c:pt>
                <c:pt idx="3">
                  <c:v>2025</c:v>
                </c:pt>
                <c:pt idx="4">
                  <c:v>2026</c:v>
                </c:pt>
              </c:strCache>
            </c:strRef>
          </c:cat>
          <c:val>
            <c:numRef>
              <c:f>'Analysis - Pivots'!$E$139:$E$143</c:f>
              <c:numCache>
                <c:formatCode>"$"#,##0.00</c:formatCode>
                <c:ptCount val="5"/>
                <c:pt idx="0">
                  <c:v>9442.4</c:v>
                </c:pt>
                <c:pt idx="1">
                  <c:v>479052</c:v>
                </c:pt>
                <c:pt idx="2">
                  <c:v>266332.79999999999</c:v>
                </c:pt>
                <c:pt idx="3">
                  <c:v>72287</c:v>
                </c:pt>
                <c:pt idx="4">
                  <c:v>25220</c:v>
                </c:pt>
              </c:numCache>
            </c:numRef>
          </c:val>
          <c:extLst>
            <c:ext xmlns:c16="http://schemas.microsoft.com/office/drawing/2014/chart" uri="{C3380CC4-5D6E-409C-BE32-E72D297353CC}">
              <c16:uniqueId val="{00000001-191D-044F-90CF-CD8B9896F7E5}"/>
            </c:ext>
          </c:extLst>
        </c:ser>
        <c:ser>
          <c:idx val="3"/>
          <c:order val="3"/>
          <c:tx>
            <c:strRef>
              <c:f>'Analysis - Pivots'!$F$137:$F$138</c:f>
              <c:strCache>
                <c:ptCount val="1"/>
                <c:pt idx="0">
                  <c:v>Expedia</c:v>
                </c:pt>
              </c:strCache>
            </c:strRef>
          </c:tx>
          <c:spPr>
            <a:solidFill>
              <a:srgbClr val="FFC000"/>
            </a:solidFill>
            <a:ln>
              <a:noFill/>
            </a:ln>
            <a:effectLst/>
          </c:spPr>
          <c:invertIfNegative val="0"/>
          <c:cat>
            <c:strRef>
              <c:f>'Analysis - Pivots'!$B$139:$B$143</c:f>
              <c:strCache>
                <c:ptCount val="5"/>
                <c:pt idx="0">
                  <c:v>2022</c:v>
                </c:pt>
                <c:pt idx="1">
                  <c:v>2023</c:v>
                </c:pt>
                <c:pt idx="2">
                  <c:v>2024</c:v>
                </c:pt>
                <c:pt idx="3">
                  <c:v>2025</c:v>
                </c:pt>
                <c:pt idx="4">
                  <c:v>2026</c:v>
                </c:pt>
              </c:strCache>
            </c:strRef>
          </c:cat>
          <c:val>
            <c:numRef>
              <c:f>'Analysis - Pivots'!$F$139:$F$143</c:f>
              <c:numCache>
                <c:formatCode>"$"#,##0.00</c:formatCode>
                <c:ptCount val="5"/>
                <c:pt idx="0">
                  <c:v>114747.00000000001</c:v>
                </c:pt>
                <c:pt idx="1">
                  <c:v>373045.80000000005</c:v>
                </c:pt>
                <c:pt idx="2">
                  <c:v>836557.79999999993</c:v>
                </c:pt>
                <c:pt idx="3">
                  <c:v>144813.59999999998</c:v>
                </c:pt>
                <c:pt idx="4">
                  <c:v>55700</c:v>
                </c:pt>
              </c:numCache>
            </c:numRef>
          </c:val>
          <c:extLst>
            <c:ext xmlns:c16="http://schemas.microsoft.com/office/drawing/2014/chart" uri="{C3380CC4-5D6E-409C-BE32-E72D297353CC}">
              <c16:uniqueId val="{00000002-191D-044F-90CF-CD8B9896F7E5}"/>
            </c:ext>
          </c:extLst>
        </c:ser>
        <c:ser>
          <c:idx val="4"/>
          <c:order val="4"/>
          <c:tx>
            <c:strRef>
              <c:f>'Analysis - Pivots'!$G$137:$G$138</c:f>
              <c:strCache>
                <c:ptCount val="1"/>
                <c:pt idx="0">
                  <c:v>Google</c:v>
                </c:pt>
              </c:strCache>
            </c:strRef>
          </c:tx>
          <c:spPr>
            <a:solidFill>
              <a:schemeClr val="accent5"/>
            </a:solidFill>
            <a:ln>
              <a:noFill/>
            </a:ln>
            <a:effectLst/>
          </c:spPr>
          <c:invertIfNegative val="0"/>
          <c:cat>
            <c:strRef>
              <c:f>'Analysis - Pivots'!$B$139:$B$143</c:f>
              <c:strCache>
                <c:ptCount val="5"/>
                <c:pt idx="0">
                  <c:v>2022</c:v>
                </c:pt>
                <c:pt idx="1">
                  <c:v>2023</c:v>
                </c:pt>
                <c:pt idx="2">
                  <c:v>2024</c:v>
                </c:pt>
                <c:pt idx="3">
                  <c:v>2025</c:v>
                </c:pt>
                <c:pt idx="4">
                  <c:v>2026</c:v>
                </c:pt>
              </c:strCache>
            </c:strRef>
          </c:cat>
          <c:val>
            <c:numRef>
              <c:f>'Analysis - Pivots'!$G$139:$G$143</c:f>
              <c:numCache>
                <c:formatCode>"$"#,##0.00</c:formatCode>
                <c:ptCount val="5"/>
                <c:pt idx="1">
                  <c:v>7211.4</c:v>
                </c:pt>
              </c:numCache>
            </c:numRef>
          </c:val>
          <c:extLst>
            <c:ext xmlns:c16="http://schemas.microsoft.com/office/drawing/2014/chart" uri="{C3380CC4-5D6E-409C-BE32-E72D297353CC}">
              <c16:uniqueId val="{00000003-191D-044F-90CF-CD8B9896F7E5}"/>
            </c:ext>
          </c:extLst>
        </c:ser>
        <c:ser>
          <c:idx val="5"/>
          <c:order val="5"/>
          <c:tx>
            <c:strRef>
              <c:f>'Analysis - Pivots'!$H$137:$H$138</c:f>
              <c:strCache>
                <c:ptCount val="1"/>
                <c:pt idx="0">
                  <c:v>Intima Reservation</c:v>
                </c:pt>
              </c:strCache>
            </c:strRef>
          </c:tx>
          <c:spPr>
            <a:solidFill>
              <a:srgbClr val="00B050"/>
            </a:solidFill>
            <a:ln>
              <a:noFill/>
            </a:ln>
            <a:effectLst/>
          </c:spPr>
          <c:invertIfNegative val="0"/>
          <c:cat>
            <c:strRef>
              <c:f>'Analysis - Pivots'!$B$139:$B$143</c:f>
              <c:strCache>
                <c:ptCount val="5"/>
                <c:pt idx="0">
                  <c:v>2022</c:v>
                </c:pt>
                <c:pt idx="1">
                  <c:v>2023</c:v>
                </c:pt>
                <c:pt idx="2">
                  <c:v>2024</c:v>
                </c:pt>
                <c:pt idx="3">
                  <c:v>2025</c:v>
                </c:pt>
                <c:pt idx="4">
                  <c:v>2026</c:v>
                </c:pt>
              </c:strCache>
            </c:strRef>
          </c:cat>
          <c:val>
            <c:numRef>
              <c:f>'Analysis - Pivots'!$H$139:$H$143</c:f>
              <c:numCache>
                <c:formatCode>"$"#,##0.00</c:formatCode>
                <c:ptCount val="5"/>
                <c:pt idx="1">
                  <c:v>32994.800000000003</c:v>
                </c:pt>
              </c:numCache>
            </c:numRef>
          </c:val>
          <c:extLst>
            <c:ext xmlns:c16="http://schemas.microsoft.com/office/drawing/2014/chart" uri="{C3380CC4-5D6E-409C-BE32-E72D297353CC}">
              <c16:uniqueId val="{00000004-191D-044F-90CF-CD8B9896F7E5}"/>
            </c:ext>
          </c:extLst>
        </c:ser>
        <c:ser>
          <c:idx val="6"/>
          <c:order val="6"/>
          <c:tx>
            <c:strRef>
              <c:f>'Analysis - Pivots'!$I$137:$I$138</c:f>
              <c:strCache>
                <c:ptCount val="1"/>
                <c:pt idx="0">
                  <c:v>Lodgify</c:v>
                </c:pt>
              </c:strCache>
            </c:strRef>
          </c:tx>
          <c:spPr>
            <a:solidFill>
              <a:schemeClr val="accent1">
                <a:lumMod val="60000"/>
              </a:schemeClr>
            </a:solidFill>
            <a:ln>
              <a:noFill/>
            </a:ln>
            <a:effectLst/>
          </c:spPr>
          <c:invertIfNegative val="0"/>
          <c:cat>
            <c:strRef>
              <c:f>'Analysis - Pivots'!$B$139:$B$143</c:f>
              <c:strCache>
                <c:ptCount val="5"/>
                <c:pt idx="0">
                  <c:v>2022</c:v>
                </c:pt>
                <c:pt idx="1">
                  <c:v>2023</c:v>
                </c:pt>
                <c:pt idx="2">
                  <c:v>2024</c:v>
                </c:pt>
                <c:pt idx="3">
                  <c:v>2025</c:v>
                </c:pt>
                <c:pt idx="4">
                  <c:v>2026</c:v>
                </c:pt>
              </c:strCache>
            </c:strRef>
          </c:cat>
          <c:val>
            <c:numRef>
              <c:f>'Analysis - Pivots'!$I$139:$I$143</c:f>
              <c:numCache>
                <c:formatCode>"$"#,##0.00</c:formatCode>
                <c:ptCount val="5"/>
                <c:pt idx="2">
                  <c:v>47752</c:v>
                </c:pt>
                <c:pt idx="3">
                  <c:v>20660.199999999997</c:v>
                </c:pt>
              </c:numCache>
            </c:numRef>
          </c:val>
          <c:extLst>
            <c:ext xmlns:c16="http://schemas.microsoft.com/office/drawing/2014/chart" uri="{C3380CC4-5D6E-409C-BE32-E72D297353CC}">
              <c16:uniqueId val="{00000005-191D-044F-90CF-CD8B9896F7E5}"/>
            </c:ext>
          </c:extLst>
        </c:ser>
        <c:ser>
          <c:idx val="7"/>
          <c:order val="7"/>
          <c:tx>
            <c:strRef>
              <c:f>'Analysis - Pivots'!$J$137:$J$138</c:f>
              <c:strCache>
                <c:ptCount val="1"/>
                <c:pt idx="0">
                  <c:v>VRBO</c:v>
                </c:pt>
              </c:strCache>
            </c:strRef>
          </c:tx>
          <c:spPr>
            <a:solidFill>
              <a:srgbClr val="00B0F0"/>
            </a:solidFill>
            <a:ln>
              <a:noFill/>
            </a:ln>
            <a:effectLst/>
          </c:spPr>
          <c:invertIfNegative val="0"/>
          <c:cat>
            <c:strRef>
              <c:f>'Analysis - Pivots'!$B$139:$B$143</c:f>
              <c:strCache>
                <c:ptCount val="5"/>
                <c:pt idx="0">
                  <c:v>2022</c:v>
                </c:pt>
                <c:pt idx="1">
                  <c:v>2023</c:v>
                </c:pt>
                <c:pt idx="2">
                  <c:v>2024</c:v>
                </c:pt>
                <c:pt idx="3">
                  <c:v>2025</c:v>
                </c:pt>
                <c:pt idx="4">
                  <c:v>2026</c:v>
                </c:pt>
              </c:strCache>
            </c:strRef>
          </c:cat>
          <c:val>
            <c:numRef>
              <c:f>'Analysis - Pivots'!$J$139:$J$143</c:f>
              <c:numCache>
                <c:formatCode>"$"#,##0.00</c:formatCode>
                <c:ptCount val="5"/>
                <c:pt idx="2">
                  <c:v>16261</c:v>
                </c:pt>
              </c:numCache>
            </c:numRef>
          </c:val>
          <c:extLst>
            <c:ext xmlns:c16="http://schemas.microsoft.com/office/drawing/2014/chart" uri="{C3380CC4-5D6E-409C-BE32-E72D297353CC}">
              <c16:uniqueId val="{00000006-191D-044F-90CF-CD8B9896F7E5}"/>
            </c:ext>
          </c:extLst>
        </c:ser>
        <c:dLbls>
          <c:showLegendKey val="0"/>
          <c:showVal val="0"/>
          <c:showCatName val="0"/>
          <c:showSerName val="0"/>
          <c:showPercent val="0"/>
          <c:showBubbleSize val="0"/>
        </c:dLbls>
        <c:gapWidth val="150"/>
        <c:overlap val="100"/>
        <c:axId val="464528576"/>
        <c:axId val="464529472"/>
      </c:barChart>
      <c:catAx>
        <c:axId val="4645285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MX"/>
          </a:p>
        </c:txPr>
        <c:crossAx val="464529472"/>
        <c:crosses val="autoZero"/>
        <c:auto val="1"/>
        <c:lblAlgn val="ctr"/>
        <c:lblOffset val="100"/>
        <c:noMultiLvlLbl val="0"/>
      </c:catAx>
      <c:valAx>
        <c:axId val="46452947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MX"/>
          </a:p>
        </c:txPr>
        <c:crossAx val="464528576"/>
        <c:crosses val="autoZero"/>
        <c:crossBetween val="between"/>
      </c:valAx>
      <c:spPr>
        <a:noFill/>
        <a:ln>
          <a:noFill/>
        </a:ln>
        <a:effectLst/>
      </c:spPr>
    </c:plotArea>
    <c:legend>
      <c:legendPos val="t"/>
      <c:layout>
        <c:manualLayout>
          <c:xMode val="edge"/>
          <c:yMode val="edge"/>
          <c:x val="0.19344654541171052"/>
          <c:y val="0.16659042712498137"/>
          <c:w val="0.55724058154072198"/>
          <c:h val="7.8625772699439697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330200" sx="102000" sy="102000" algn="ctr" rotWithShape="0">
        <a:prstClr val="black">
          <a:alpha val="40000"/>
        </a:prstClr>
      </a:outerShdw>
    </a:effectLst>
  </c:spPr>
  <c:txPr>
    <a:bodyPr/>
    <a:lstStyle/>
    <a:p>
      <a:pPr>
        <a:defRPr sz="1400"/>
      </a:pPr>
      <a:endParaRPr lang="en-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5</xdr:row>
      <xdr:rowOff>192314</xdr:rowOff>
    </xdr:from>
    <xdr:to>
      <xdr:col>7</xdr:col>
      <xdr:colOff>216263</xdr:colOff>
      <xdr:row>22</xdr:row>
      <xdr:rowOff>0</xdr:rowOff>
    </xdr:to>
    <xdr:graphicFrame macro="">
      <xdr:nvGraphicFramePr>
        <xdr:cNvPr id="2" name="Chart 1">
          <a:extLst>
            <a:ext uri="{FF2B5EF4-FFF2-40B4-BE49-F238E27FC236}">
              <a16:creationId xmlns:a16="http://schemas.microsoft.com/office/drawing/2014/main" id="{E88B6AC5-9D07-9C46-8040-9A43A77D0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435429</xdr:colOff>
      <xdr:row>5</xdr:row>
      <xdr:rowOff>192314</xdr:rowOff>
    </xdr:from>
    <xdr:to>
      <xdr:col>12</xdr:col>
      <xdr:colOff>651692</xdr:colOff>
      <xdr:row>22</xdr:row>
      <xdr:rowOff>0</xdr:rowOff>
    </xdr:to>
    <xdr:graphicFrame macro="">
      <xdr:nvGraphicFramePr>
        <xdr:cNvPr id="3" name="Chart 2">
          <a:extLst>
            <a:ext uri="{FF2B5EF4-FFF2-40B4-BE49-F238E27FC236}">
              <a16:creationId xmlns:a16="http://schemas.microsoft.com/office/drawing/2014/main" id="{C9BE6151-9456-3146-AA1B-7B067CDEA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108857</xdr:colOff>
      <xdr:row>5</xdr:row>
      <xdr:rowOff>174171</xdr:rowOff>
    </xdr:from>
    <xdr:to>
      <xdr:col>18</xdr:col>
      <xdr:colOff>325120</xdr:colOff>
      <xdr:row>21</xdr:row>
      <xdr:rowOff>181428</xdr:rowOff>
    </xdr:to>
    <xdr:graphicFrame macro="">
      <xdr:nvGraphicFramePr>
        <xdr:cNvPr id="4" name="Chart 3">
          <a:extLst>
            <a:ext uri="{FF2B5EF4-FFF2-40B4-BE49-F238E27FC236}">
              <a16:creationId xmlns:a16="http://schemas.microsoft.com/office/drawing/2014/main" id="{DFAF05D2-FCDC-3041-9B81-7E199CECB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618308</xdr:colOff>
      <xdr:row>6</xdr:row>
      <xdr:rowOff>0</xdr:rowOff>
    </xdr:from>
    <xdr:to>
      <xdr:col>24</xdr:col>
      <xdr:colOff>0</xdr:colOff>
      <xdr:row>22</xdr:row>
      <xdr:rowOff>7258</xdr:rowOff>
    </xdr:to>
    <xdr:graphicFrame macro="">
      <xdr:nvGraphicFramePr>
        <xdr:cNvPr id="5" name="Chart 4">
          <a:extLst>
            <a:ext uri="{FF2B5EF4-FFF2-40B4-BE49-F238E27FC236}">
              <a16:creationId xmlns:a16="http://schemas.microsoft.com/office/drawing/2014/main" id="{CED390C1-E362-0C42-9036-D73A180F7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22</xdr:row>
      <xdr:rowOff>134258</xdr:rowOff>
    </xdr:from>
    <xdr:to>
      <xdr:col>12</xdr:col>
      <xdr:colOff>798286</xdr:colOff>
      <xdr:row>41</xdr:row>
      <xdr:rowOff>0</xdr:rowOff>
    </xdr:to>
    <xdr:graphicFrame macro="">
      <xdr:nvGraphicFramePr>
        <xdr:cNvPr id="6" name="Chart 5">
          <a:extLst>
            <a:ext uri="{FF2B5EF4-FFF2-40B4-BE49-F238E27FC236}">
              <a16:creationId xmlns:a16="http://schemas.microsoft.com/office/drawing/2014/main" id="{CF0FDEBA-60A9-E24A-9129-DB4935E91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36285</xdr:colOff>
      <xdr:row>22</xdr:row>
      <xdr:rowOff>134258</xdr:rowOff>
    </xdr:from>
    <xdr:to>
      <xdr:col>24</xdr:col>
      <xdr:colOff>0</xdr:colOff>
      <xdr:row>41</xdr:row>
      <xdr:rowOff>0</xdr:rowOff>
    </xdr:to>
    <xdr:graphicFrame macro="">
      <xdr:nvGraphicFramePr>
        <xdr:cNvPr id="7" name="Chart 6">
          <a:extLst>
            <a:ext uri="{FF2B5EF4-FFF2-40B4-BE49-F238E27FC236}">
              <a16:creationId xmlns:a16="http://schemas.microsoft.com/office/drawing/2014/main" id="{2326F5AE-91A2-8D4C-BFFF-707247C78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54428</xdr:colOff>
      <xdr:row>41</xdr:row>
      <xdr:rowOff>90714</xdr:rowOff>
    </xdr:from>
    <xdr:to>
      <xdr:col>22</xdr:col>
      <xdr:colOff>656771</xdr:colOff>
      <xdr:row>59</xdr:row>
      <xdr:rowOff>156029</xdr:rowOff>
    </xdr:to>
    <xdr:graphicFrame macro="">
      <xdr:nvGraphicFramePr>
        <xdr:cNvPr id="8" name="Chart 7">
          <a:extLst>
            <a:ext uri="{FF2B5EF4-FFF2-40B4-BE49-F238E27FC236}">
              <a16:creationId xmlns:a16="http://schemas.microsoft.com/office/drawing/2014/main" id="{F532481D-67E3-F640-89F0-979D1DCFF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27978</xdr:colOff>
      <xdr:row>5</xdr:row>
      <xdr:rowOff>146155</xdr:rowOff>
    </xdr:from>
    <xdr:to>
      <xdr:col>26</xdr:col>
      <xdr:colOff>576940</xdr:colOff>
      <xdr:row>14</xdr:row>
      <xdr:rowOff>108922</xdr:rowOff>
    </xdr:to>
    <mc:AlternateContent xmlns:mc="http://schemas.openxmlformats.org/markup-compatibility/2006">
      <mc:Choice xmlns:a14="http://schemas.microsoft.com/office/drawing/2010/main" Requires="a14">
        <xdr:graphicFrame macro="">
          <xdr:nvGraphicFramePr>
            <xdr:cNvPr id="9" name="Apt">
              <a:extLst>
                <a:ext uri="{FF2B5EF4-FFF2-40B4-BE49-F238E27FC236}">
                  <a16:creationId xmlns:a16="http://schemas.microsoft.com/office/drawing/2014/main" id="{7573AD0A-7234-2E4A-8926-F58C3DF6A41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pt"/>
            </a:graphicData>
          </a:graphic>
        </xdr:graphicFrame>
      </mc:Choice>
      <mc:Fallback>
        <xdr:sp macro="" textlink="">
          <xdr:nvSpPr>
            <xdr:cNvPr id="0" name=""/>
            <xdr:cNvSpPr>
              <a:spLocks noTextEdit="1"/>
            </xdr:cNvSpPr>
          </xdr:nvSpPr>
          <xdr:spPr>
            <a:xfrm>
              <a:off x="20847650" y="1187139"/>
              <a:ext cx="1381749" cy="1836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ia Pèepem" refreshedDate="46188.636945833336" createdVersion="8" refreshedVersion="8" minRefreshableVersion="3" recordCount="143" xr:uid="{45582D6C-6EEF-1942-AF57-683B4E0F7032}">
  <cacheSource type="worksheet">
    <worksheetSource ref="A1:P1048576" sheet="Data_Consolidado"/>
  </cacheSource>
  <cacheFields count="16">
    <cacheField name="Month" numFmtId="14">
      <sharedItems containsBlank="1" count="54">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 v="2025-11"/>
        <s v="2025-12"/>
        <s v="2026-01"/>
        <s v="2026-02"/>
        <s v="2026-03"/>
        <s v="2026-04"/>
        <s v="2026-05"/>
        <m/>
      </sharedItems>
    </cacheField>
    <cacheField name="Apt" numFmtId="0">
      <sharedItems containsBlank="1" count="4">
        <s v="A302"/>
        <s v="B303"/>
        <s v="C301"/>
        <m/>
      </sharedItems>
    </cacheField>
    <cacheField name="Income" numFmtId="164">
      <sharedItems containsString="0" containsBlank="1" containsNumber="1" minValue="0" maxValue="691789.6"/>
    </cacheField>
    <cacheField name="Booked_Nights" numFmtId="0">
      <sharedItems containsString="0" containsBlank="1" containsNumber="1" containsInteger="1" minValue="0" maxValue="180"/>
    </cacheField>
    <cacheField name="Exp_Direct" numFmtId="164">
      <sharedItems containsString="0" containsBlank="1" containsNumber="1" minValue="0" maxValue="58210"/>
    </cacheField>
    <cacheField name="Pct_Income" numFmtId="10">
      <sharedItems containsString="0" containsBlank="1" containsNumber="1" minValue="0" maxValue="1"/>
    </cacheField>
    <cacheField name="Shared_Total" numFmtId="164">
      <sharedItems containsString="0" containsBlank="1" containsNumber="1" minValue="0" maxValue="38209"/>
    </cacheField>
    <cacheField name="Shared_Assigned" numFmtId="164">
      <sharedItems containsString="0" containsBlank="1" containsNumber="1" minValue="0" maxValue="25717.066802017158"/>
    </cacheField>
    <cacheField name="Total_Exp" numFmtId="164">
      <sharedItems containsString="0" containsBlank="1" containsNumber="1" minValue="700" maxValue="73883.583026332693"/>
    </cacheField>
    <cacheField name="Profit_or_Loss" numFmtId="164">
      <sharedItems containsString="0" containsBlank="1" containsNumber="1" minValue="-43820" maxValue="617906.01697366731"/>
    </cacheField>
    <cacheField name="Margin%" numFmtId="10">
      <sharedItems containsBlank="1" containsMixedTypes="1" containsNumber="1" minValue="-7.6299942346497547" maxValue="0.89319934409778257"/>
    </cacheField>
    <cacheField name="Available _Nights" numFmtId="0">
      <sharedItems containsString="0" containsBlank="1" containsNumber="1" containsInteger="1" minValue="0" maxValue="28"/>
    </cacheField>
    <cacheField name="Occupancy_Rate" numFmtId="10">
      <sharedItems containsString="0" containsBlank="1" containsNumber="1" minValue="0" maxValue="6.9230769230769234"/>
    </cacheField>
    <cacheField name="Avg_Daily_Rate" numFmtId="164">
      <sharedItems containsString="0" containsBlank="1" containsNumber="1" minValue="0" maxValue="67000"/>
    </cacheField>
    <cacheField name="Rev_per_Av_Night" numFmtId="164">
      <sharedItems containsString="0" containsBlank="1" containsNumber="1" minValue="0" maxValue="24706.771428571428"/>
    </cacheField>
    <cacheField name="Expense_Ratio%" numFmtId="10">
      <sharedItems containsString="0" containsBlank="1" containsNumber="1" minValue="0" maxValue="8.6299942346497538"/>
    </cacheField>
  </cacheFields>
  <extLst>
    <ext xmlns:x14="http://schemas.microsoft.com/office/spreadsheetml/2009/9/main" uri="{725AE2AE-9491-48be-B2B4-4EB974FC3084}">
      <x14:pivotCacheDefinition pivotCacheId="21237549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ia Pèepem" refreshedDate="46188.636945949074" createdVersion="8" refreshedVersion="8" minRefreshableVersion="3" recordCount="688" xr:uid="{854945B5-2592-E745-9BE6-A35258C656EC}">
  <cacheSource type="worksheet">
    <worksheetSource ref="A1:J1048576" sheet="INCOME"/>
  </cacheSource>
  <cacheFields count="15">
    <cacheField name="Check-in Date" numFmtId="14">
      <sharedItems containsNonDate="0" containsDate="1" containsString="0" containsBlank="1" minDate="2022-03-15T00:00:00" maxDate="2026-05-03T00:00:00" count="214">
        <d v="2022-03-15T00:00:00"/>
        <d v="2022-03-18T00:00:00"/>
        <d v="2022-03-24T00:00:00"/>
        <d v="2022-03-25T00:00:00"/>
        <d v="2022-04-01T00:00:00"/>
        <d v="2022-04-08T00:00:00"/>
        <d v="2022-04-10T00:00:00"/>
        <d v="2022-04-13T00:00:00"/>
        <d v="2022-04-16T00:00:00"/>
        <d v="2022-04-17T00:00:00"/>
        <d v="2022-04-22T00:00:00"/>
        <d v="2022-04-29T00:00:00"/>
        <d v="2022-04-30T00:00:00"/>
        <d v="2022-05-07T00:00:00"/>
        <d v="2022-05-08T00:00:00"/>
        <d v="2022-05-11T00:00:00"/>
        <d v="2022-05-13T00:00:00"/>
        <d v="2022-05-20T00:00:00"/>
        <d v="2022-05-28T00:00:00"/>
        <d v="2022-06-01T00:00:00"/>
        <d v="2022-06-08T00:00:00"/>
        <d v="2022-06-16T00:00:00"/>
        <d v="2022-06-24T00:00:00"/>
        <d v="2022-06-25T00:00:00"/>
        <d v="2022-07-02T00:00:00"/>
        <d v="2022-07-08T00:00:00"/>
        <d v="2022-07-09T00:00:00"/>
        <d v="2022-07-15T00:00:00"/>
        <d v="2022-08-02T00:00:00"/>
        <d v="2022-08-09T00:00:00"/>
        <d v="2022-08-13T00:00:00"/>
        <d v="2022-08-16T00:00:00"/>
        <d v="2022-08-24T00:00:00"/>
        <d v="2022-08-25T00:00:00"/>
        <d v="2022-10-08T00:00:00"/>
        <d v="2022-10-18T00:00:00"/>
        <d v="2022-10-30T00:00:00"/>
        <d v="2022-11-03T00:00:00"/>
        <d v="2022-11-08T00:00:00"/>
        <d v="2022-11-11T00:00:00"/>
        <d v="2022-11-13T00:00:00"/>
        <d v="2022-11-20T00:00:00"/>
        <d v="2022-11-23T00:00:00"/>
        <d v="2022-11-30T00:00:00"/>
        <d v="2022-12-03T00:00:00"/>
        <d v="2022-12-04T00:00:00"/>
        <d v="2022-12-08T00:00:00"/>
        <d v="2022-12-20T00:00:00"/>
        <d v="2022-12-21T00:00:00"/>
        <d v="2022-12-25T00:00:00"/>
        <d v="2022-12-28T00:00:00"/>
        <d v="2022-12-29T00:00:00"/>
        <d v="2022-12-30T00:00:00"/>
        <d v="2022-12-31T00:00:00"/>
        <d v="2023-01-02T00:00:00"/>
        <d v="2023-01-03T00:00:00"/>
        <d v="2023-01-05T00:00:00"/>
        <d v="2023-01-07T00:00:00"/>
        <d v="2023-01-08T00:00:00"/>
        <d v="2023-01-11T00:00:00"/>
        <d v="2023-01-12T00:00:00"/>
        <d v="2023-01-15T00:00:00"/>
        <d v="2023-02-05T00:00:00"/>
        <d v="2023-02-08T00:00:00"/>
        <d v="2023-02-10T00:00:00"/>
        <d v="2023-02-11T00:00:00"/>
        <d v="2023-02-14T00:00:00"/>
        <d v="2023-02-21T00:00:00"/>
        <d v="2023-02-22T00:00:00"/>
        <d v="2023-02-25T00:00:00"/>
        <d v="2023-02-28T00:00:00"/>
        <d v="2023-03-03T00:00:00"/>
        <d v="2023-03-12T00:00:00"/>
        <d v="2023-03-25T00:00:00"/>
        <d v="2023-03-30T00:00:00"/>
        <d v="2023-04-01T00:00:00"/>
        <d v="2023-04-02T00:00:00"/>
        <d v="2023-04-07T00:00:00"/>
        <d v="2023-04-14T00:00:00"/>
        <d v="2023-04-17T00:00:00"/>
        <d v="2023-05-04T00:00:00"/>
        <d v="2023-05-12T00:00:00"/>
        <d v="2023-05-27T00:00:00"/>
        <d v="2023-06-03T00:00:00"/>
        <d v="2023-06-20T00:00:00"/>
        <d v="2023-06-21T00:00:00"/>
        <d v="2023-06-22T00:00:00"/>
        <d v="2023-07-18T00:00:00"/>
        <d v="2023-07-27T00:00:00"/>
        <d v="2023-09-01T00:00:00"/>
        <d v="2023-09-10T00:00:00"/>
        <d v="2023-10-12T00:00:00"/>
        <d v="2023-10-17T00:00:00"/>
        <d v="2023-11-01T00:00:00"/>
        <d v="2023-11-04T00:00:00"/>
        <d v="2023-11-08T00:00:00"/>
        <d v="2023-11-17T00:00:00"/>
        <d v="2023-11-26T00:00:00"/>
        <d v="2023-11-30T00:00:00"/>
        <d v="2023-12-01T00:00:00"/>
        <d v="2023-12-02T00:00:00"/>
        <d v="2023-12-07T00:00:00"/>
        <d v="2023-12-09T00:00:00"/>
        <d v="2023-12-21T00:00:00"/>
        <d v="2023-12-22T00:00:00"/>
        <d v="2023-12-26T00:00:00"/>
        <d v="2023-12-27T00:00:00"/>
        <d v="2023-12-29T00:00:00"/>
        <d v="2023-12-30T00:00:00"/>
        <d v="2023-12-31T00:00:00"/>
        <d v="2024-01-02T00:00:00"/>
        <d v="2024-01-04T00:00:00"/>
        <d v="2024-01-05T00:00:00"/>
        <d v="2024-01-06T00:00:00"/>
        <d v="2024-01-08T00:00:00"/>
        <d v="2024-01-10T00:00:00"/>
        <d v="2024-01-12T00:00:00"/>
        <d v="2024-01-14T00:00:00"/>
        <d v="2024-02-12T00:00:00"/>
        <d v="2024-02-16T00:00:00"/>
        <d v="2024-02-22T00:00:00"/>
        <d v="2024-02-28T00:00:00"/>
        <d v="2024-03-08T00:00:00"/>
        <d v="2024-03-15T00:00:00"/>
        <d v="2024-03-18T00:00:00"/>
        <d v="2024-03-27T00:00:00"/>
        <d v="2024-03-28T00:00:00"/>
        <d v="2024-04-12T00:00:00"/>
        <d v="2024-04-16T00:00:00"/>
        <d v="2024-04-22T00:00:00"/>
        <d v="2024-04-27T00:00:00"/>
        <d v="2024-05-06T00:00:00"/>
        <d v="2024-05-12T00:00:00"/>
        <d v="2024-05-17T00:00:00"/>
        <d v="2024-05-23T00:00:00"/>
        <d v="2024-05-24T00:00:00"/>
        <d v="2024-06-09T00:00:00"/>
        <d v="2024-06-13T00:00:00"/>
        <d v="2024-06-22T00:00:00"/>
        <d v="2024-07-09T00:00:00"/>
        <d v="2024-07-18T00:00:00"/>
        <d v="2024-07-19T00:00:00"/>
        <d v="2024-08-01T00:00:00"/>
        <d v="2024-08-04T00:00:00"/>
        <d v="2024-08-15T00:00:00"/>
        <d v="2024-08-31T00:00:00"/>
        <d v="2024-09-12T00:00:00"/>
        <d v="2024-10-04T00:00:00"/>
        <d v="2024-10-07T00:00:00"/>
        <d v="2024-10-24T00:00:00"/>
        <d v="2024-11-05T00:00:00"/>
        <d v="2024-11-15T00:00:00"/>
        <d v="2024-11-30T00:00:00"/>
        <d v="2024-12-03T00:00:00"/>
        <d v="2024-12-24T00:00:00"/>
        <d v="2024-12-26T00:00:00"/>
        <d v="2024-12-28T00:00:00"/>
        <d v="2024-12-31T00:00:00"/>
        <d v="2025-01-02T00:00:00"/>
        <d v="2025-01-03T00:00:00"/>
        <d v="2025-01-04T00:00:00"/>
        <d v="2025-01-05T00:00:00"/>
        <d v="2025-01-07T00:00:00"/>
        <d v="2025-01-09T00:00:00"/>
        <d v="2025-01-22T00:00:00"/>
        <d v="2025-01-30T00:00:00"/>
        <d v="2025-02-17T00:00:00"/>
        <d v="2025-02-26T00:00:00"/>
        <d v="2025-02-27T00:00:00"/>
        <d v="2025-02-28T00:00:00"/>
        <d v="2025-03-01T00:00:00"/>
        <d v="2025-03-10T00:00:00"/>
        <d v="2025-03-13T00:00:00"/>
        <d v="2025-03-17T00:00:00"/>
        <d v="2025-03-20T00:00:00"/>
        <d v="2025-03-28T00:00:00"/>
        <d v="2025-04-02T00:00:00"/>
        <d v="2025-04-03T00:00:00"/>
        <d v="2025-04-05T00:00:00"/>
        <d v="2025-04-08T00:00:00"/>
        <d v="2025-04-11T00:00:00"/>
        <d v="2025-05-22T00:00:00"/>
        <d v="2025-05-27T00:00:00"/>
        <d v="2025-06-28T00:00:00"/>
        <d v="2025-07-17T00:00:00"/>
        <d v="2025-07-25T00:00:00"/>
        <d v="2025-08-28T00:00:00"/>
        <d v="2025-10-24T00:00:00"/>
        <d v="2025-11-14T00:00:00"/>
        <d v="2025-11-22T00:00:00"/>
        <d v="2025-12-24T00:00:00"/>
        <d v="2025-12-28T00:00:00"/>
        <d v="2026-01-01T00:00:00"/>
        <d v="2026-01-04T00:00:00"/>
        <d v="2026-01-06T00:00:00"/>
        <d v="2026-01-08T00:00:00"/>
        <d v="2026-01-23T00:00:00"/>
        <d v="2026-01-27T00:00:00"/>
        <d v="2026-02-05T00:00:00"/>
        <d v="2026-02-07T00:00:00"/>
        <d v="2026-02-12T00:00:00"/>
        <d v="2026-02-16T00:00:00"/>
        <d v="2026-02-17T00:00:00"/>
        <d v="2026-02-20T00:00:00"/>
        <d v="2026-03-01T00:00:00"/>
        <d v="2026-03-06T00:00:00"/>
        <d v="2026-03-14T00:00:00"/>
        <d v="2026-04-01T00:00:00"/>
        <d v="2026-04-06T00:00:00"/>
        <d v="2026-04-10T00:00:00"/>
        <d v="2026-04-24T00:00:00"/>
        <d v="2026-04-26T00:00:00"/>
        <d v="2026-05-02T00:00:00"/>
        <m/>
      </sharedItems>
      <fieldGroup par="14"/>
    </cacheField>
    <cacheField name="Check-out Date" numFmtId="14">
      <sharedItems containsNonDate="0" containsDate="1" containsString="0" containsBlank="1" minDate="2022-03-18T00:00:00" maxDate="2026-05-05T00:00:00"/>
    </cacheField>
    <cacheField name="Num_Nights" numFmtId="0">
      <sharedItems containsString="0" containsBlank="1" containsNumber="1" containsInteger="1" minValue="1" maxValue="90"/>
    </cacheField>
    <cacheField name="APARTMENT" numFmtId="0">
      <sharedItems containsBlank="1"/>
    </cacheField>
    <cacheField name="NAME" numFmtId="0">
      <sharedItems containsBlank="1"/>
    </cacheField>
    <cacheField name="FULL AMOUNT usd" numFmtId="0">
      <sharedItems containsString="0" containsBlank="1" containsNumber="1" minValue="110" maxValue="15840"/>
    </cacheField>
    <cacheField name="FULL AMOUNT mxn pesos" numFmtId="0">
      <sharedItems containsString="0" containsBlank="1" containsNumber="1" minValue="0" maxValue="316800"/>
    </cacheField>
    <cacheField name="20% commission" numFmtId="0">
      <sharedItems containsString="0" containsBlank="1" containsNumber="1" minValue="0" maxValue="3168"/>
    </cacheField>
    <cacheField name="RENTAL PLATFORM" numFmtId="0">
      <sharedItems containsBlank="1" count="9">
        <s v="Airbnb"/>
        <s v="Booking"/>
        <s v="Expedia"/>
        <s v="Direct Reservation"/>
        <s v="Intima Reservation"/>
        <s v="Google"/>
        <s v="VRBO"/>
        <s v="Lodgify"/>
        <m/>
      </sharedItems>
    </cacheField>
    <cacheField name="Month" numFmtId="0">
      <sharedItems containsBlank="1" count="49">
        <s v="2022-03"/>
        <s v="2022-04"/>
        <s v="2022-05"/>
        <s v="2022-06"/>
        <s v="2022-07"/>
        <s v="2022-08"/>
        <s v="2022-10"/>
        <s v="2022-11"/>
        <s v="2022-12"/>
        <s v="2023-01"/>
        <s v="2023-02"/>
        <s v="2023-03"/>
        <s v="2023-04"/>
        <s v="2023-05"/>
        <s v="2023-06"/>
        <s v="2023-07"/>
        <s v="2023-09"/>
        <s v="2023-10"/>
        <s v="2023-11"/>
        <s v="2023-12"/>
        <s v="2024-01"/>
        <s v="2024-02"/>
        <s v="2024-03"/>
        <s v="2024-04"/>
        <s v="2024-05"/>
        <s v="2024-06"/>
        <s v="2024-07"/>
        <s v="2024-08"/>
        <s v="2024-09"/>
        <s v="2024-10"/>
        <s v="2024-11"/>
        <s v="2024-12"/>
        <s v="2025-01"/>
        <s v="2025-02"/>
        <s v="2025-03"/>
        <s v="2025-04"/>
        <s v="2025-05"/>
        <s v="2025-06"/>
        <s v="2025-07"/>
        <s v="2025-08"/>
        <s v="2025-10"/>
        <s v="2025-11"/>
        <s v="2025-12"/>
        <s v="2026-01"/>
        <s v="2026-02"/>
        <s v="2026-03"/>
        <s v="2026-04"/>
        <s v="2026-05"/>
        <m/>
      </sharedItems>
      <fieldGroup par="10"/>
    </cacheField>
    <cacheField name="Month2" numFmtId="0" databaseField="0">
      <fieldGroup par="11" base="9">
        <discretePr count="49">
          <x v="20"/>
          <x v="20"/>
          <x v="20"/>
          <x v="20"/>
          <x v="20"/>
          <x v="20"/>
          <x v="20"/>
          <x v="20"/>
          <x v="20"/>
          <x v="18"/>
          <x v="18"/>
          <x v="18"/>
          <x v="18"/>
          <x v="18"/>
          <x v="18"/>
          <x v="18"/>
          <x v="18"/>
          <x v="18"/>
          <x v="18"/>
          <x v="18"/>
          <x v="0"/>
          <x v="19"/>
          <x v="19"/>
          <x v="19"/>
          <x v="19"/>
          <x v="19"/>
          <x v="19"/>
          <x v="19"/>
          <x v="19"/>
          <x v="19"/>
          <x v="19"/>
          <x v="19"/>
          <x v="1"/>
          <x v="2"/>
          <x v="3"/>
          <x v="4"/>
          <x v="5"/>
          <x v="6"/>
          <x v="7"/>
          <x v="8"/>
          <x v="9"/>
          <x v="10"/>
          <x v="11"/>
          <x v="12"/>
          <x v="13"/>
          <x v="14"/>
          <x v="15"/>
          <x v="16"/>
          <x v="17"/>
        </discretePr>
        <groupItems count="21">
          <s v="2024-01"/>
          <s v="2025-01"/>
          <s v="2025-02"/>
          <s v="2025-03"/>
          <s v="2025-04"/>
          <s v="2025-05"/>
          <s v="2025-06"/>
          <s v="2025-07"/>
          <s v="2025-08"/>
          <s v="2025-10"/>
          <s v="2025-11"/>
          <s v="2025-12"/>
          <s v="2026-01"/>
          <s v="2026-02"/>
          <s v="2026-03"/>
          <s v="2026-04"/>
          <s v="2026-05"/>
          <m/>
          <s v="Group2"/>
          <s v="Group3"/>
          <s v="Group1"/>
        </groupItems>
      </fieldGroup>
    </cacheField>
    <cacheField name="Month3" numFmtId="0" databaseField="0">
      <fieldGroup base="9">
        <discretePr count="49">
          <x v="6"/>
          <x v="6"/>
          <x v="6"/>
          <x v="6"/>
          <x v="6"/>
          <x v="6"/>
          <x v="6"/>
          <x v="6"/>
          <x v="6"/>
          <x v="7"/>
          <x v="7"/>
          <x v="7"/>
          <x v="7"/>
          <x v="7"/>
          <x v="7"/>
          <x v="7"/>
          <x v="7"/>
          <x v="7"/>
          <x v="7"/>
          <x v="7"/>
          <x v="19"/>
          <x v="19"/>
          <x v="19"/>
          <x v="19"/>
          <x v="19"/>
          <x v="19"/>
          <x v="19"/>
          <x v="19"/>
          <x v="19"/>
          <x v="19"/>
          <x v="19"/>
          <x v="19"/>
          <x v="8"/>
          <x v="9"/>
          <x v="10"/>
          <x v="11"/>
          <x v="12"/>
          <x v="13"/>
          <x v="14"/>
          <x v="15"/>
          <x v="16"/>
          <x v="17"/>
          <x v="18"/>
          <x v="0"/>
          <x v="1"/>
          <x v="2"/>
          <x v="3"/>
          <x v="4"/>
          <x v="5"/>
        </discretePr>
        <groupItems count="20">
          <s v="2026-01"/>
          <s v="2026-02"/>
          <s v="2026-03"/>
          <s v="2026-04"/>
          <s v="2026-05"/>
          <m/>
          <s v="Group1"/>
          <s v="Group2"/>
          <s v="2025-01"/>
          <s v="2025-02"/>
          <s v="2025-03"/>
          <s v="2025-04"/>
          <s v="2025-05"/>
          <s v="2025-06"/>
          <s v="2025-07"/>
          <s v="2025-08"/>
          <s v="2025-10"/>
          <s v="2025-11"/>
          <s v="2025-12"/>
          <s v="Group3"/>
        </groupItems>
      </fieldGroup>
    </cacheField>
    <cacheField name="Months (Check-in Date)" numFmtId="0" databaseField="0">
      <fieldGroup base="0">
        <rangePr groupBy="months" startDate="2022-03-15T00:00:00" endDate="2026-05-03T00:00:00"/>
        <groupItems count="14">
          <s v="&lt;15/03/22"/>
          <s v="Jan"/>
          <s v="Feb"/>
          <s v="Mar"/>
          <s v="Apr"/>
          <s v="May"/>
          <s v="Jun"/>
          <s v="Jul"/>
          <s v="Aug"/>
          <s v="Sep"/>
          <s v="Oct"/>
          <s v="Nov"/>
          <s v="Dec"/>
          <s v="&gt;03/05/26"/>
        </groupItems>
      </fieldGroup>
    </cacheField>
    <cacheField name="Quarters (Check-in Date)" numFmtId="0" databaseField="0">
      <fieldGroup base="0">
        <rangePr groupBy="quarters" startDate="2022-03-15T00:00:00" endDate="2026-05-03T00:00:00"/>
        <groupItems count="6">
          <s v="&lt;15/03/22"/>
          <s v="Qtr1"/>
          <s v="Qtr2"/>
          <s v="Qtr3"/>
          <s v="Qtr4"/>
          <s v="&gt;03/05/26"/>
        </groupItems>
      </fieldGroup>
    </cacheField>
    <cacheField name="Years (Check-in Date)" numFmtId="0" databaseField="0">
      <fieldGroup base="0">
        <rangePr groupBy="years" startDate="2022-03-15T00:00:00" endDate="2026-05-03T00:00:00"/>
        <groupItems count="7">
          <s v="&lt;15/03/22"/>
          <s v="2022"/>
          <s v="2023"/>
          <s v="2024"/>
          <s v="2025"/>
          <s v="2026"/>
          <s v="&gt;03/05/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ia Pèepem" refreshedDate="46188.636946064813" createdVersion="8" refreshedVersion="8" minRefreshableVersion="3" recordCount="142" xr:uid="{B802D5FE-2809-9449-A09B-1B52EC76C86B}">
  <cacheSource type="worksheet">
    <worksheetSource name="Table2"/>
  </cacheSource>
  <cacheFields count="19">
    <cacheField name="Month" numFmtId="14">
      <sharedItems count="53">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 v="2025-11"/>
        <s v="2025-12"/>
        <s v="2026-01"/>
        <s v="2026-02"/>
        <s v="2026-03"/>
        <s v="2026-04"/>
        <s v="2026-05"/>
      </sharedItems>
      <fieldGroup par="16"/>
    </cacheField>
    <cacheField name="Apt" numFmtId="0">
      <sharedItems containsBlank="1" count="4">
        <s v="A302"/>
        <s v="B303"/>
        <s v="C301"/>
        <m u="1"/>
      </sharedItems>
    </cacheField>
    <cacheField name="Income" numFmtId="164">
      <sharedItems containsSemiMixedTypes="0" containsString="0" containsNumber="1" minValue="0" maxValue="691789.6"/>
    </cacheField>
    <cacheField name="Booked_Nights" numFmtId="0">
      <sharedItems containsSemiMixedTypes="0" containsString="0" containsNumber="1" containsInteger="1" minValue="0" maxValue="180"/>
    </cacheField>
    <cacheField name="Exp_Direct" numFmtId="164">
      <sharedItems containsSemiMixedTypes="0" containsString="0" containsNumber="1" minValue="0" maxValue="58210"/>
    </cacheField>
    <cacheField name="Pct_Income" numFmtId="10">
      <sharedItems containsSemiMixedTypes="0" containsString="0" containsNumber="1" minValue="0" maxValue="1"/>
    </cacheField>
    <cacheField name="Shared_Total" numFmtId="164">
      <sharedItems containsSemiMixedTypes="0" containsString="0" containsNumber="1" minValue="0" maxValue="38209"/>
    </cacheField>
    <cacheField name="Shared_Assigned" numFmtId="164">
      <sharedItems containsSemiMixedTypes="0" containsString="0" containsNumber="1" minValue="0" maxValue="25717.066802017158"/>
    </cacheField>
    <cacheField name="Total_Exp" numFmtId="164">
      <sharedItems containsSemiMixedTypes="0" containsString="0" containsNumber="1" minValue="700" maxValue="73883.583026332693"/>
    </cacheField>
    <cacheField name="Profit_or_Loss" numFmtId="164">
      <sharedItems containsSemiMixedTypes="0" containsString="0" containsNumber="1" minValue="-43820" maxValue="617906.01697366731"/>
    </cacheField>
    <cacheField name="Margin%" numFmtId="10">
      <sharedItems containsMixedTypes="1" containsNumber="1" minValue="-7.6299942346497547" maxValue="0.89319934409778257"/>
    </cacheField>
    <cacheField name="Available _Nights" numFmtId="0">
      <sharedItems containsSemiMixedTypes="0" containsString="0" containsNumber="1" containsInteger="1" minValue="0" maxValue="28"/>
    </cacheField>
    <cacheField name="Occupancy_Rate" numFmtId="10">
      <sharedItems containsSemiMixedTypes="0" containsString="0" containsNumber="1" minValue="0" maxValue="6.9230769230769234"/>
    </cacheField>
    <cacheField name="Avg_Daily_Rate" numFmtId="164">
      <sharedItems containsSemiMixedTypes="0" containsString="0" containsNumber="1" minValue="0" maxValue="67000"/>
    </cacheField>
    <cacheField name="Rev_per_Av_Night" numFmtId="164">
      <sharedItems containsSemiMixedTypes="0" containsString="0" containsNumber="1" minValue="0" maxValue="24706.771428571428"/>
    </cacheField>
    <cacheField name="Expense_Ratio%" numFmtId="10">
      <sharedItems containsSemiMixedTypes="0" containsString="0" containsNumber="1" minValue="0" maxValue="8.6299942346497538"/>
    </cacheField>
    <cacheField name="Month2" numFmtId="0" databaseField="0">
      <fieldGroup base="0">
        <discretePr count="53">
          <x v="4"/>
          <x v="4"/>
          <x v="4"/>
          <x v="4"/>
          <x v="4"/>
          <x v="4"/>
          <x v="4"/>
          <x v="4"/>
          <x v="4"/>
          <x v="4"/>
          <x v="4"/>
          <x v="4"/>
          <x v="0"/>
          <x v="0"/>
          <x v="0"/>
          <x v="0"/>
          <x v="0"/>
          <x v="0"/>
          <x v="0"/>
          <x v="0"/>
          <x v="0"/>
          <x v="0"/>
          <x v="0"/>
          <x v="0"/>
          <x v="1"/>
          <x v="1"/>
          <x v="1"/>
          <x v="1"/>
          <x v="1"/>
          <x v="1"/>
          <x v="1"/>
          <x v="1"/>
          <x v="1"/>
          <x v="1"/>
          <x v="1"/>
          <x v="1"/>
          <x v="2"/>
          <x v="2"/>
          <x v="2"/>
          <x v="2"/>
          <x v="2"/>
          <x v="2"/>
          <x v="2"/>
          <x v="2"/>
          <x v="2"/>
          <x v="2"/>
          <x v="2"/>
          <x v="2"/>
          <x v="3"/>
          <x v="3"/>
          <x v="3"/>
          <x v="3"/>
          <x v="3"/>
        </discretePr>
        <groupItems count="5">
          <s v="Group2"/>
          <s v="Group3"/>
          <s v="Group4"/>
          <s v="Group5"/>
          <s v="Group1"/>
        </groupItems>
      </fieldGroup>
    </cacheField>
    <cacheField name="Total_Margin %" numFmtId="0" formula="Profit_or_Loss/Income" databaseField="0"/>
    <cacheField name="Total_Margin%" numFmtId="0" formula="Profit_or_Loss/Income" databaseField="0"/>
  </cacheFields>
  <extLst>
    <ext xmlns:x14="http://schemas.microsoft.com/office/spreadsheetml/2009/9/main" uri="{725AE2AE-9491-48be-B2B4-4EB974FC3084}">
      <x14:pivotCacheDefinition pivotCacheId="11947171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
  <r>
    <x v="0"/>
    <x v="0"/>
    <n v="0"/>
    <n v="0"/>
    <n v="3464.76"/>
    <n v="0"/>
    <n v="5188"/>
    <n v="2594"/>
    <n v="6058.76"/>
    <n v="-6058.76"/>
    <s v="-"/>
    <n v="0"/>
    <n v="0"/>
    <n v="0"/>
    <n v="0"/>
    <n v="0"/>
  </r>
  <r>
    <x v="0"/>
    <x v="1"/>
    <n v="0"/>
    <n v="0"/>
    <n v="39110.720000000001"/>
    <n v="0"/>
    <n v="5188"/>
    <n v="2594"/>
    <n v="41704.720000000001"/>
    <n v="-41704.720000000001"/>
    <s v="-"/>
    <n v="0"/>
    <n v="0"/>
    <n v="0"/>
    <n v="0"/>
    <n v="0"/>
  </r>
  <r>
    <x v="1"/>
    <x v="0"/>
    <n v="0"/>
    <n v="0"/>
    <n v="9560"/>
    <n v="0"/>
    <n v="1240"/>
    <n v="620"/>
    <n v="10180"/>
    <n v="-10180"/>
    <s v="-"/>
    <n v="0"/>
    <n v="0"/>
    <n v="0"/>
    <n v="0"/>
    <n v="0"/>
  </r>
  <r>
    <x v="1"/>
    <x v="1"/>
    <n v="0"/>
    <n v="0"/>
    <n v="26307"/>
    <n v="0"/>
    <n v="1240"/>
    <n v="620"/>
    <n v="26927"/>
    <n v="-26927"/>
    <s v="-"/>
    <n v="0"/>
    <n v="0"/>
    <n v="0"/>
    <n v="0"/>
    <n v="0"/>
  </r>
  <r>
    <x v="2"/>
    <x v="0"/>
    <n v="33655.800000000003"/>
    <n v="23"/>
    <n v="5533"/>
    <n v="0.50731064671337445"/>
    <n v="7565.5"/>
    <n v="3838.0586977100343"/>
    <n v="9371.0586977100338"/>
    <n v="24284.741302289971"/>
    <n v="0.72156184973436877"/>
    <n v="28"/>
    <n v="0.8214285714285714"/>
    <n v="1463.2956521739131"/>
    <n v="1201.9928571428572"/>
    <n v="0.27843815026563129"/>
  </r>
  <r>
    <x v="2"/>
    <x v="1"/>
    <n v="32685.8"/>
    <n v="21"/>
    <n v="16096.75"/>
    <n v="0.49268935328662555"/>
    <n v="7565.5"/>
    <n v="3727.4413022899657"/>
    <n v="19824.191302289964"/>
    <n v="12861.608697710035"/>
    <n v="0.39349224120902765"/>
    <n v="28"/>
    <n v="0.75"/>
    <n v="1556.4666666666667"/>
    <n v="1167.3499999999999"/>
    <n v="0.60650775879097241"/>
  </r>
  <r>
    <x v="3"/>
    <x v="0"/>
    <n v="68562.600000000006"/>
    <n v="26"/>
    <n v="11030"/>
    <n v="0.58247245764151778"/>
    <n v="10324"/>
    <n v="6013.4456526910299"/>
    <n v="17043.445652691029"/>
    <n v="51519.154347308977"/>
    <n v="0.75141774593304478"/>
    <n v="27"/>
    <n v="0.96296296296296291"/>
    <n v="2637.023076923077"/>
    <n v="2539.3555555555558"/>
    <n v="0.24858225406695528"/>
  </r>
  <r>
    <x v="3"/>
    <x v="1"/>
    <n v="49147"/>
    <n v="21"/>
    <n v="6170"/>
    <n v="0.41752754235848222"/>
    <n v="10324"/>
    <n v="4310.5543473089701"/>
    <n v="10480.554347308971"/>
    <n v="38666.445652691029"/>
    <n v="0.78675088311984509"/>
    <n v="27"/>
    <n v="0.77777777777777779"/>
    <n v="2340.3333333333335"/>
    <n v="1820.2592592592594"/>
    <n v="0.21324911688015485"/>
  </r>
  <r>
    <x v="4"/>
    <x v="0"/>
    <n v="71984.2"/>
    <n v="35"/>
    <n v="6916"/>
    <n v="0.55374676525522559"/>
    <n v="8041"/>
    <n v="4452.6777394172686"/>
    <n v="11368.677739417268"/>
    <n v="60615.522260582729"/>
    <n v="0.84206704055310377"/>
    <n v="28"/>
    <n v="1.25"/>
    <n v="2056.6914285714283"/>
    <n v="2570.8642857142854"/>
    <n v="0.15793295944689623"/>
  </r>
  <r>
    <x v="4"/>
    <x v="1"/>
    <n v="58010.6"/>
    <n v="28"/>
    <n v="6591"/>
    <n v="0.44625323474477441"/>
    <n v="8041"/>
    <n v="3588.3222605827309"/>
    <n v="10179.32226058273"/>
    <n v="47831.277739417266"/>
    <n v="0.82452651307549429"/>
    <n v="28"/>
    <n v="1"/>
    <n v="2071.8071428571429"/>
    <n v="2071.8071428571429"/>
    <n v="0.17547348692450571"/>
  </r>
  <r>
    <x v="5"/>
    <x v="0"/>
    <n v="9130.4000000000015"/>
    <n v="6"/>
    <n v="4015"/>
    <n v="0.25344340382063768"/>
    <n v="7602"/>
    <n v="1926.6767558444876"/>
    <n v="5941.6767558444881"/>
    <n v="3188.7232441555134"/>
    <n v="0.34924244766445206"/>
    <n v="27"/>
    <n v="0.22222222222222221"/>
    <n v="1521.7333333333336"/>
    <n v="338.16296296296304"/>
    <n v="0.650757552335548"/>
  </r>
  <r>
    <x v="5"/>
    <x v="1"/>
    <n v="26895"/>
    <n v="15"/>
    <n v="8211"/>
    <n v="0.74655659617936232"/>
    <n v="7602"/>
    <n v="5675.3232441555119"/>
    <n v="13886.323244155512"/>
    <n v="13008.676755844488"/>
    <n v="0.48368383550267663"/>
    <n v="27"/>
    <n v="0.55555555555555558"/>
    <n v="1793"/>
    <n v="996.11111111111109"/>
    <n v="0.51631616449732332"/>
  </r>
  <r>
    <x v="5"/>
    <x v="2"/>
    <n v="0"/>
    <n v="0"/>
    <n v="2600"/>
    <n v="0"/>
    <n v="7602"/>
    <n v="0"/>
    <n v="2600"/>
    <n v="-2600"/>
    <s v="-"/>
    <n v="27"/>
    <n v="0"/>
    <n v="0"/>
    <n v="0"/>
    <n v="0"/>
  </r>
  <r>
    <x v="6"/>
    <x v="0"/>
    <n v="43007.8"/>
    <n v="13"/>
    <n v="13166"/>
    <n v="0.4866005462514793"/>
    <n v="10489"/>
    <n v="5103.9531296317664"/>
    <n v="18269.953129631765"/>
    <n v="24737.846870368237"/>
    <n v="0.57519442683346356"/>
    <n v="28"/>
    <n v="0.4642857142857143"/>
    <n v="3308.292307692308"/>
    <n v="1535.9928571428572"/>
    <n v="0.42480557316653639"/>
  </r>
  <r>
    <x v="6"/>
    <x v="1"/>
    <n v="45376.4"/>
    <n v="22"/>
    <n v="14801"/>
    <n v="0.51339945374852058"/>
    <n v="10489"/>
    <n v="5385.0468703682327"/>
    <n v="20186.046870368235"/>
    <n v="25190.353129631767"/>
    <n v="0.5551421692693066"/>
    <n v="28"/>
    <n v="0.7857142857142857"/>
    <n v="2062.5636363636363"/>
    <n v="1620.5857142857144"/>
    <n v="0.44485783073069335"/>
  </r>
  <r>
    <x v="6"/>
    <x v="2"/>
    <n v="0"/>
    <n v="0"/>
    <n v="10533"/>
    <n v="0"/>
    <n v="10489"/>
    <n v="0"/>
    <n v="10533"/>
    <n v="-10533"/>
    <s v="-"/>
    <n v="28"/>
    <n v="0"/>
    <n v="0"/>
    <n v="0"/>
    <n v="0"/>
  </r>
  <r>
    <x v="7"/>
    <x v="0"/>
    <n v="32774.400000000001"/>
    <n v="13"/>
    <n v="12478"/>
    <n v="0.56846903413131489"/>
    <n v="14507"/>
    <n v="8246.7802781429855"/>
    <n v="20724.780278142985"/>
    <n v="12049.619721857016"/>
    <n v="0.36765340393285662"/>
    <n v="28"/>
    <n v="0.4642857142857143"/>
    <n v="2521.1076923076926"/>
    <n v="1170.5142857142857"/>
    <n v="0.63234659606714338"/>
  </r>
  <r>
    <x v="7"/>
    <x v="1"/>
    <n v="5390.2"/>
    <n v="5"/>
    <n v="14133"/>
    <n v="9.3492536485019206E-2"/>
    <n v="14507"/>
    <n v="1356.2962267881737"/>
    <n v="15489.296226788174"/>
    <n v="-10099.096226788173"/>
    <n v="-1.8736032478921327"/>
    <n v="28"/>
    <n v="0.17857142857142858"/>
    <n v="1078.04"/>
    <n v="192.50714285714284"/>
    <n v="2.8736032478921327"/>
  </r>
  <r>
    <x v="7"/>
    <x v="2"/>
    <n v="19489.199999999997"/>
    <n v="17"/>
    <n v="49302"/>
    <n v="0.33803842938366591"/>
    <n v="14507"/>
    <n v="4903.9234950688415"/>
    <n v="54205.923495068841"/>
    <n v="-34716.723495068843"/>
    <n v="-1.7813313781514299"/>
    <n v="28"/>
    <n v="0.6071428571428571"/>
    <n v="1146.4235294117645"/>
    <n v="696.04285714285709"/>
    <n v="2.7813313781514299"/>
  </r>
  <r>
    <x v="8"/>
    <x v="0"/>
    <n v="0"/>
    <n v="0"/>
    <n v="3550"/>
    <n v="0"/>
    <n v="7560.2"/>
    <n v="2520.0666666666666"/>
    <n v="6070.0666666666666"/>
    <n v="-6070.0666666666666"/>
    <s v="-"/>
    <n v="27"/>
    <n v="0"/>
    <n v="0"/>
    <n v="0"/>
    <n v="0"/>
  </r>
  <r>
    <x v="8"/>
    <x v="1"/>
    <n v="0"/>
    <n v="0"/>
    <n v="0"/>
    <n v="0"/>
    <n v="7560.2"/>
    <n v="2520.0666666666666"/>
    <n v="2520.0666666666666"/>
    <n v="-2520.0666666666666"/>
    <s v="-"/>
    <n v="27"/>
    <n v="0"/>
    <n v="0"/>
    <n v="0"/>
    <n v="0"/>
  </r>
  <r>
    <x v="8"/>
    <x v="2"/>
    <n v="0"/>
    <n v="0"/>
    <n v="1900"/>
    <n v="0"/>
    <n v="7560.2"/>
    <n v="2520.0666666666666"/>
    <n v="4420.0666666666666"/>
    <n v="-4420.0666666666666"/>
    <s v="-"/>
    <n v="27"/>
    <n v="0"/>
    <n v="0"/>
    <n v="0"/>
    <n v="0"/>
  </r>
  <r>
    <x v="9"/>
    <x v="0"/>
    <n v="18000"/>
    <n v="10"/>
    <n v="6267"/>
    <n v="1"/>
    <n v="15960"/>
    <n v="15960"/>
    <n v="22227"/>
    <n v="-4227"/>
    <n v="-0.23483333333333334"/>
    <n v="28"/>
    <n v="0.35714285714285715"/>
    <n v="1800"/>
    <n v="642.85714285714289"/>
    <n v="1.2348333333333332"/>
  </r>
  <r>
    <x v="9"/>
    <x v="1"/>
    <n v="0"/>
    <n v="0"/>
    <n v="700"/>
    <n v="0"/>
    <n v="15960"/>
    <n v="0"/>
    <n v="700"/>
    <n v="-700"/>
    <s v="-"/>
    <n v="28"/>
    <n v="0"/>
    <n v="0"/>
    <n v="0"/>
    <n v="0"/>
  </r>
  <r>
    <x v="9"/>
    <x v="2"/>
    <n v="0"/>
    <n v="0"/>
    <n v="4200"/>
    <n v="0"/>
    <n v="15960"/>
    <n v="0"/>
    <n v="4200"/>
    <n v="-4200"/>
    <s v="-"/>
    <n v="28"/>
    <n v="0"/>
    <n v="0"/>
    <n v="0"/>
    <n v="0"/>
  </r>
  <r>
    <x v="10"/>
    <x v="0"/>
    <n v="49329.599999999999"/>
    <n v="26"/>
    <n v="11600"/>
    <n v="0.67306306896325885"/>
    <n v="38209"/>
    <n v="25717.066802017158"/>
    <n v="37317.066802017158"/>
    <n v="12012.533197982841"/>
    <n v="0.24351572277056455"/>
    <n v="27"/>
    <n v="0.96296296296296291"/>
    <n v="1897.2923076923075"/>
    <n v="1827.0222222222221"/>
    <n v="0.75648427722943545"/>
  </r>
  <r>
    <x v="10"/>
    <x v="1"/>
    <n v="12300"/>
    <n v="6"/>
    <n v="4470"/>
    <n v="0.16782369506843933"/>
    <n v="38209"/>
    <n v="6412.375564869998"/>
    <n v="10882.375564869999"/>
    <n v="1417.6244351300011"/>
    <n v="0.11525401911626025"/>
    <n v="27"/>
    <n v="0.22222222222222221"/>
    <n v="2050"/>
    <n v="455.55555555555554"/>
    <n v="0.88474598088373979"/>
  </r>
  <r>
    <x v="10"/>
    <x v="2"/>
    <n v="11661.6"/>
    <n v="8"/>
    <n v="23842"/>
    <n v="0.15911323596830179"/>
    <n v="38209"/>
    <n v="6079.5576331128432"/>
    <n v="29921.557633112843"/>
    <n v="-18259.957633112841"/>
    <n v="-1.5658192386218734"/>
    <n v="27"/>
    <n v="0.29629629629629628"/>
    <n v="1457.7"/>
    <n v="431.9111111111111"/>
    <n v="2.5658192386218737"/>
  </r>
  <r>
    <x v="11"/>
    <x v="0"/>
    <n v="56866.600000000006"/>
    <n v="16"/>
    <n v="16310"/>
    <n v="0.29099146674199022"/>
    <n v="22700"/>
    <n v="6605.5062950431784"/>
    <n v="22915.506295043178"/>
    <n v="33951.093704956831"/>
    <n v="0.5970304837102417"/>
    <n v="28"/>
    <n v="0.5714285714285714"/>
    <n v="3554.1625000000004"/>
    <n v="2030.9500000000003"/>
    <n v="0.40296951628975841"/>
  </r>
  <r>
    <x v="11"/>
    <x v="1"/>
    <n v="74357"/>
    <n v="19"/>
    <n v="7460"/>
    <n v="0.38049140431350154"/>
    <n v="22700"/>
    <n v="8637.1548779164841"/>
    <n v="16097.154877916484"/>
    <n v="58259.845122083512"/>
    <n v="0.7835152725645671"/>
    <n v="28"/>
    <n v="0.6785714285714286"/>
    <n v="3913.5263157894738"/>
    <n v="2655.6071428571427"/>
    <n v="0.2164847274354329"/>
  </r>
  <r>
    <x v="11"/>
    <x v="2"/>
    <n v="64200"/>
    <n v="42"/>
    <n v="7490"/>
    <n v="0.32851712894450824"/>
    <n v="22700"/>
    <n v="7457.3388270403375"/>
    <n v="14947.338827040337"/>
    <n v="49252.661172959663"/>
    <n v="0.76717540767849945"/>
    <n v="28"/>
    <n v="1.5"/>
    <n v="1528.5714285714287"/>
    <n v="2292.8571428571427"/>
    <n v="0.23282459232150057"/>
  </r>
  <r>
    <x v="12"/>
    <x v="0"/>
    <n v="127716.40000000001"/>
    <n v="43"/>
    <n v="24790"/>
    <n v="0.53977007141631517"/>
    <n v="11670"/>
    <n v="6299.1167334283982"/>
    <n v="31089.116733428396"/>
    <n v="96627.283266571612"/>
    <n v="0.7565769413056711"/>
    <n v="28"/>
    <n v="1.5357142857142858"/>
    <n v="2970.1488372093027"/>
    <n v="4561.3"/>
    <n v="0.24342305869432895"/>
  </r>
  <r>
    <x v="12"/>
    <x v="1"/>
    <n v="36306.6"/>
    <n v="13"/>
    <n v="14670"/>
    <n v="0.15344322322648921"/>
    <n v="11670"/>
    <n v="1790.682415053129"/>
    <n v="16460.682415053128"/>
    <n v="19845.91758494687"/>
    <n v="0.54662010722422016"/>
    <n v="28"/>
    <n v="0.4642857142857143"/>
    <n v="2792.8153846153846"/>
    <n v="1296.6642857142856"/>
    <n v="0.45337989277577984"/>
  </r>
  <r>
    <x v="12"/>
    <x v="2"/>
    <n v="72589.600000000006"/>
    <n v="22"/>
    <n v="17390"/>
    <n v="0.30678670535719571"/>
    <n v="11670"/>
    <n v="3580.2008515184739"/>
    <n v="20970.200851518475"/>
    <n v="51619.399148481534"/>
    <n v="0.71111287496392772"/>
    <n v="28"/>
    <n v="0.7857142857142857"/>
    <n v="3299.5272727272732"/>
    <n v="2592.4857142857145"/>
    <n v="0.28888712503607228"/>
  </r>
  <r>
    <x v="13"/>
    <x v="0"/>
    <n v="50500.800000000003"/>
    <n v="47"/>
    <n v="12601"/>
    <n v="0.32686855820239386"/>
    <n v="26670"/>
    <n v="8717.5844472578447"/>
    <n v="21318.584447257846"/>
    <n v="29182.215552742156"/>
    <n v="0.57785650034736391"/>
    <n v="25"/>
    <n v="1.88"/>
    <n v="1074.4851063829788"/>
    <n v="2020.0320000000002"/>
    <n v="0.42214349965263609"/>
  </r>
  <r>
    <x v="13"/>
    <x v="1"/>
    <n v="40885.599999999999"/>
    <n v="37"/>
    <n v="9120"/>
    <n v="0.26463377061828314"/>
    <n v="26670"/>
    <n v="7057.7826623896117"/>
    <n v="16177.782662389611"/>
    <n v="24707.817337610388"/>
    <n v="0.60431587986015589"/>
    <n v="25"/>
    <n v="1.48"/>
    <n v="1105.0162162162162"/>
    <n v="1635.424"/>
    <n v="0.39568412013984411"/>
  </r>
  <r>
    <x v="13"/>
    <x v="2"/>
    <n v="63112.4"/>
    <n v="32"/>
    <n v="12036"/>
    <n v="0.40849767117932312"/>
    <n v="26670"/>
    <n v="10894.632890352548"/>
    <n v="22930.63289035255"/>
    <n v="40181.767109647451"/>
    <n v="0.63666992714026804"/>
    <n v="25"/>
    <n v="1.28"/>
    <n v="1972.2625"/>
    <n v="2524.4960000000001"/>
    <n v="0.36333007285973201"/>
  </r>
  <r>
    <x v="14"/>
    <x v="0"/>
    <n v="34715"/>
    <n v="17"/>
    <n v="43090"/>
    <n v="0.53097277454879166"/>
    <n v="25160"/>
    <n v="13359.275007647599"/>
    <n v="56449.2750076476"/>
    <n v="-21734.2750076476"/>
    <n v="-0.62607734430786688"/>
    <n v="28"/>
    <n v="0.6071428571428571"/>
    <n v="2042.0588235294117"/>
    <n v="1239.8214285714287"/>
    <n v="1.6260773443078669"/>
  </r>
  <r>
    <x v="14"/>
    <x v="1"/>
    <n v="9465"/>
    <n v="4"/>
    <n v="23353"/>
    <n v="0.14476904252064851"/>
    <n v="25160"/>
    <n v="3642.3891098195168"/>
    <n v="26995.389109819516"/>
    <n v="-17530.389109819516"/>
    <n v="-1.8521277453586389"/>
    <n v="28"/>
    <n v="0.14285714285714285"/>
    <n v="2366.25"/>
    <n v="338.03571428571428"/>
    <n v="2.8521277453586387"/>
  </r>
  <r>
    <x v="14"/>
    <x v="2"/>
    <n v="21200"/>
    <n v="9"/>
    <n v="46490"/>
    <n v="0.3242581829305598"/>
    <n v="25160"/>
    <n v="8158.3358825328842"/>
    <n v="54648.335882532883"/>
    <n v="-33448.335882532883"/>
    <n v="-1.5777516925723059"/>
    <n v="28"/>
    <n v="0.32142857142857145"/>
    <n v="2355.5555555555557"/>
    <n v="757.14285714285711"/>
    <n v="2.5777516925723059"/>
  </r>
  <r>
    <x v="15"/>
    <x v="0"/>
    <n v="31235.200000000001"/>
    <n v="10"/>
    <n v="30130"/>
    <n v="0.20583978933106284"/>
    <n v="3612"/>
    <n v="743.49331906379894"/>
    <n v="30873.4933190638"/>
    <n v="361.70668093620043"/>
    <n v="1.1580098124430144E-2"/>
    <n v="27"/>
    <n v="0.37037037037037035"/>
    <n v="3123.52"/>
    <n v="1156.8592592592593"/>
    <n v="0.98841990187556983"/>
  </r>
  <r>
    <x v="15"/>
    <x v="1"/>
    <n v="52368.6"/>
    <n v="12"/>
    <n v="20200"/>
    <n v="0.34510877444558374"/>
    <n v="3612"/>
    <n v="1246.5328932974485"/>
    <n v="21446.532893297448"/>
    <n v="30922.067106702551"/>
    <n v="0.59046961550819677"/>
    <n v="27"/>
    <n v="0.44444444444444442"/>
    <n v="4364.05"/>
    <n v="1939.5777777777778"/>
    <n v="0.40953038449180329"/>
  </r>
  <r>
    <x v="15"/>
    <x v="2"/>
    <n v="68141.399999999994"/>
    <n v="24"/>
    <n v="29030"/>
    <n v="0.44905143622335331"/>
    <n v="3612"/>
    <n v="1621.9737876387521"/>
    <n v="30651.973787638752"/>
    <n v="37489.426212361243"/>
    <n v="0.55017105918518328"/>
    <n v="27"/>
    <n v="0.88888888888888884"/>
    <n v="2839.2249999999999"/>
    <n v="2523.7555555555555"/>
    <n v="0.44982894081481678"/>
  </r>
  <r>
    <x v="16"/>
    <x v="0"/>
    <n v="0"/>
    <n v="0"/>
    <n v="42910"/>
    <n v="0"/>
    <n v="12450"/>
    <n v="0"/>
    <n v="42910"/>
    <n v="-42910"/>
    <s v="-"/>
    <n v="28"/>
    <n v="0"/>
    <n v="0"/>
    <n v="0"/>
    <n v="0"/>
  </r>
  <r>
    <x v="16"/>
    <x v="1"/>
    <n v="0"/>
    <n v="0"/>
    <n v="19800"/>
    <n v="0"/>
    <n v="12450"/>
    <n v="0"/>
    <n v="19800"/>
    <n v="-19800"/>
    <s v="-"/>
    <n v="28"/>
    <n v="0"/>
    <n v="0"/>
    <n v="0"/>
    <n v="0"/>
  </r>
  <r>
    <x v="16"/>
    <x v="2"/>
    <n v="42114.2"/>
    <n v="16"/>
    <n v="43790"/>
    <n v="1"/>
    <n v="12450"/>
    <n v="12450"/>
    <n v="56240"/>
    <n v="-14125.800000000003"/>
    <n v="-0.33541655783559948"/>
    <n v="28"/>
    <n v="0.5714285714285714"/>
    <n v="2632.1374999999998"/>
    <n v="1504.0785714285714"/>
    <n v="1.3354165578355994"/>
  </r>
  <r>
    <x v="17"/>
    <x v="0"/>
    <n v="14252.8"/>
    <n v="8"/>
    <n v="26460"/>
    <n v="8.5936444847479213E-2"/>
    <n v="5800"/>
    <n v="498.43138011537945"/>
    <n v="26958.43138011538"/>
    <n v="-12705.631380115381"/>
    <n v="-0.89144809301438188"/>
    <n v="27"/>
    <n v="0.29629629629629628"/>
    <n v="1781.6"/>
    <n v="527.8814814814815"/>
    <n v="1.8914480930143818"/>
  </r>
  <r>
    <x v="17"/>
    <x v="1"/>
    <n v="0"/>
    <n v="0"/>
    <n v="32400"/>
    <n v="0"/>
    <n v="5800"/>
    <n v="0"/>
    <n v="32400"/>
    <n v="-32400"/>
    <s v="-"/>
    <n v="27"/>
    <n v="0"/>
    <n v="0"/>
    <n v="0"/>
    <n v="0"/>
  </r>
  <r>
    <x v="17"/>
    <x v="2"/>
    <n v="151600"/>
    <n v="10"/>
    <n v="28600"/>
    <n v="0.9140635551525208"/>
    <n v="5800"/>
    <n v="5301.5686198846206"/>
    <n v="33901.568619884623"/>
    <n v="117698.43138011538"/>
    <n v="0.77637487717754206"/>
    <n v="27"/>
    <n v="0.37037037037037035"/>
    <n v="15160"/>
    <n v="5614.8148148148148"/>
    <n v="0.22362512282245794"/>
  </r>
  <r>
    <x v="18"/>
    <x v="0"/>
    <n v="25843.800000000003"/>
    <n v="10"/>
    <n v="24750"/>
    <n v="1"/>
    <n v="2300"/>
    <n v="2300"/>
    <n v="27050"/>
    <n v="-1206.1999999999971"/>
    <n v="-4.667270293068345E-2"/>
    <n v="28"/>
    <n v="0.35714285714285715"/>
    <n v="2584.38"/>
    <n v="922.99285714285725"/>
    <n v="1.0466727029306835"/>
  </r>
  <r>
    <x v="18"/>
    <x v="1"/>
    <n v="0"/>
    <n v="0"/>
    <n v="18000"/>
    <n v="0"/>
    <n v="2300"/>
    <n v="0"/>
    <n v="18000"/>
    <n v="-18000"/>
    <s v="-"/>
    <n v="28"/>
    <n v="0"/>
    <n v="0"/>
    <n v="0"/>
    <n v="0"/>
  </r>
  <r>
    <x v="18"/>
    <x v="2"/>
    <n v="0"/>
    <n v="0"/>
    <n v="20000"/>
    <n v="0"/>
    <n v="2300"/>
    <n v="0"/>
    <n v="20000"/>
    <n v="-20000"/>
    <s v="-"/>
    <n v="28"/>
    <n v="0"/>
    <n v="0"/>
    <n v="0"/>
    <n v="0"/>
  </r>
  <r>
    <x v="19"/>
    <x v="0"/>
    <n v="0"/>
    <n v="0"/>
    <n v="37550"/>
    <n v="0"/>
    <n v="8945"/>
    <n v="2981.6666666666665"/>
    <n v="40531.666666666664"/>
    <n v="-40531.666666666664"/>
    <s v="-"/>
    <n v="28"/>
    <n v="0"/>
    <n v="0"/>
    <n v="0"/>
    <n v="0"/>
  </r>
  <r>
    <x v="19"/>
    <x v="1"/>
    <n v="0"/>
    <n v="0"/>
    <n v="25000"/>
    <n v="0"/>
    <n v="8945"/>
    <n v="2981.6666666666665"/>
    <n v="27981.666666666668"/>
    <n v="-27981.666666666668"/>
    <s v="-"/>
    <n v="28"/>
    <n v="0"/>
    <n v="0"/>
    <n v="0"/>
    <n v="0"/>
  </r>
  <r>
    <x v="19"/>
    <x v="2"/>
    <n v="0"/>
    <n v="0"/>
    <n v="30000"/>
    <n v="0"/>
    <n v="8945"/>
    <n v="2981.6666666666665"/>
    <n v="32981.666666666664"/>
    <n v="-32981.666666666664"/>
    <s v="-"/>
    <n v="28"/>
    <n v="0"/>
    <n v="0"/>
    <n v="0"/>
    <n v="0"/>
  </r>
  <r>
    <x v="20"/>
    <x v="0"/>
    <n v="4760"/>
    <n v="4"/>
    <n v="40460"/>
    <n v="3.4303833957912942E-2"/>
    <n v="18038"/>
    <n v="618.77255693283371"/>
    <n v="41078.772556932832"/>
    <n v="-36318.772556932832"/>
    <n v="-7.6299942346497547"/>
    <n v="27"/>
    <n v="0.14814814814814814"/>
    <n v="1190"/>
    <n v="176.2962962962963"/>
    <n v="8.6299942346497538"/>
  </r>
  <r>
    <x v="20"/>
    <x v="1"/>
    <n v="134000"/>
    <n v="2"/>
    <n v="21050"/>
    <n v="0.96569616604208708"/>
    <n v="18038"/>
    <n v="17419.227443067168"/>
    <n v="38469.227443067168"/>
    <n v="95530.772556932832"/>
    <n v="0.71291621311143905"/>
    <n v="27"/>
    <n v="7.407407407407407E-2"/>
    <n v="67000"/>
    <n v="4962.9629629629626"/>
    <n v="0.28708378688856095"/>
  </r>
  <r>
    <x v="20"/>
    <x v="2"/>
    <n v="0"/>
    <n v="0"/>
    <n v="43820"/>
    <n v="0"/>
    <n v="18038"/>
    <n v="0"/>
    <n v="43820"/>
    <n v="-43820"/>
    <s v="-"/>
    <n v="27"/>
    <n v="0"/>
    <n v="0"/>
    <n v="0"/>
    <n v="0"/>
  </r>
  <r>
    <x v="21"/>
    <x v="0"/>
    <n v="17400"/>
    <n v="11"/>
    <n v="44250"/>
    <n v="0.10405453893074991"/>
    <n v="13055"/>
    <n v="1358.43200574094"/>
    <n v="45608.432005740942"/>
    <n v="-28208.432005740942"/>
    <n v="-1.6211742532035025"/>
    <n v="28"/>
    <n v="0.39285714285714285"/>
    <n v="1581.8181818181818"/>
    <n v="621.42857142857144"/>
    <n v="2.6211742532035025"/>
  </r>
  <r>
    <x v="21"/>
    <x v="1"/>
    <n v="0"/>
    <n v="0"/>
    <n v="19000"/>
    <n v="0"/>
    <n v="13055"/>
    <n v="0"/>
    <n v="19000"/>
    <n v="-19000"/>
    <s v="-"/>
    <n v="28"/>
    <n v="0"/>
    <n v="0"/>
    <n v="0"/>
    <n v="0"/>
  </r>
  <r>
    <x v="21"/>
    <x v="2"/>
    <n v="149820"/>
    <n v="11"/>
    <n v="44340"/>
    <n v="0.8959454610692501"/>
    <n v="13055"/>
    <n v="11696.56799425906"/>
    <n v="56036.567994259058"/>
    <n v="93783.432005740935"/>
    <n v="0.62597404889694919"/>
    <n v="28"/>
    <n v="0.39285714285714285"/>
    <n v="13620"/>
    <n v="5350.7142857142853"/>
    <n v="0.3740259511030507"/>
  </r>
  <r>
    <x v="22"/>
    <x v="0"/>
    <n v="41410.199999999997"/>
    <n v="42"/>
    <n v="37800"/>
    <n v="0.39420940500465507"/>
    <n v="5518"/>
    <n v="2175.2474968156866"/>
    <n v="39975.247496815689"/>
    <n v="1434.9525031843077"/>
    <n v="3.4652150996235413E-2"/>
    <n v="27"/>
    <n v="1.5555555555555556"/>
    <n v="985.9571428571428"/>
    <n v="1533.711111111111"/>
    <n v="0.96534784900376458"/>
  </r>
  <r>
    <x v="22"/>
    <x v="1"/>
    <n v="0"/>
    <n v="0"/>
    <n v="21690"/>
    <n v="0"/>
    <n v="5518"/>
    <n v="0"/>
    <n v="21690"/>
    <n v="-21690"/>
    <s v="-"/>
    <n v="27"/>
    <n v="0"/>
    <n v="0"/>
    <n v="0"/>
    <n v="0"/>
  </r>
  <r>
    <x v="22"/>
    <x v="2"/>
    <n v="63636"/>
    <n v="13"/>
    <n v="38460"/>
    <n v="0.60579059499534493"/>
    <n v="5518"/>
    <n v="3342.7525031843134"/>
    <n v="41802.752503184311"/>
    <n v="21833.247496815689"/>
    <n v="0.34309584978338814"/>
    <n v="27"/>
    <n v="0.48148148148148145"/>
    <n v="4895.0769230769229"/>
    <n v="2356.8888888888887"/>
    <n v="0.65690415021661186"/>
  </r>
  <r>
    <x v="23"/>
    <x v="0"/>
    <n v="132927.79999999999"/>
    <n v="11"/>
    <n v="45360"/>
    <n v="0.20586612796464984"/>
    <n v="1460"/>
    <n v="300.56454682838876"/>
    <n v="45660.564546828391"/>
    <n v="87267.235453171597"/>
    <n v="0.65650101373205305"/>
    <n v="28"/>
    <n v="0.39285714285714285"/>
    <n v="12084.345454545453"/>
    <n v="4747.4214285714279"/>
    <n v="0.34349898626794695"/>
  </r>
  <r>
    <x v="23"/>
    <x v="1"/>
    <n v="140103.6"/>
    <n v="15"/>
    <n v="24260"/>
    <n v="0.21697933499168812"/>
    <n v="1460"/>
    <n v="316.78982908786463"/>
    <n v="24576.789829087866"/>
    <n v="115526.81017091214"/>
    <n v="0.82458131105062349"/>
    <n v="28"/>
    <n v="0.5357142857142857"/>
    <n v="9340.24"/>
    <n v="5003.7"/>
    <n v="0.17541868894937648"/>
  </r>
  <r>
    <x v="23"/>
    <x v="2"/>
    <n v="372668.8"/>
    <n v="42"/>
    <n v="39320"/>
    <n v="0.57715453704366204"/>
    <n v="1460"/>
    <n v="842.64562408374661"/>
    <n v="40162.645624083743"/>
    <n v="332506.15437591623"/>
    <n v="0.89222965371910989"/>
    <n v="28"/>
    <n v="1.5"/>
    <n v="8873.0666666666657"/>
    <n v="13309.6"/>
    <n v="0.10777034628089001"/>
  </r>
  <r>
    <x v="24"/>
    <x v="0"/>
    <n v="691789.6"/>
    <n v="21"/>
    <n v="58210"/>
    <n v="0.82627355297236005"/>
    <n v="18969"/>
    <n v="15673.583026332697"/>
    <n v="73883.583026332693"/>
    <n v="617906.01697366731"/>
    <n v="0.89319934409778257"/>
    <n v="28"/>
    <n v="0.75"/>
    <n v="32942.361904761907"/>
    <n v="24706.771428571428"/>
    <n v="0.10680065590221752"/>
  </r>
  <r>
    <x v="24"/>
    <x v="1"/>
    <n v="37610.800000000003"/>
    <n v="11"/>
    <n v="29993.760000000002"/>
    <n v="4.4922342495655972E-2"/>
    <n v="18969"/>
    <n v="852.13191480009812"/>
    <n v="30845.8919148001"/>
    <n v="6764.9080851999024"/>
    <n v="0.17986610455507199"/>
    <n v="28"/>
    <n v="0.39285714285714285"/>
    <n v="3419.1636363636367"/>
    <n v="1343.2428571428572"/>
    <n v="0.82013389544492798"/>
  </r>
  <r>
    <x v="24"/>
    <x v="2"/>
    <n v="107840"/>
    <n v="36"/>
    <n v="34970"/>
    <n v="0.12880410453198388"/>
    <n v="18969"/>
    <n v="2443.2850588672022"/>
    <n v="37413.285058867201"/>
    <n v="70426.714941132799"/>
    <n v="0.65306671866777444"/>
    <n v="28"/>
    <n v="1.2857142857142858"/>
    <n v="2995.5555555555557"/>
    <n v="3851.4285714285716"/>
    <n v="0.34693328133222551"/>
  </r>
  <r>
    <x v="25"/>
    <x v="0"/>
    <n v="41551.399999999994"/>
    <n v="13"/>
    <n v="29037"/>
    <n v="0.17964801416728707"/>
    <n v="19120"/>
    <n v="3434.8700308785287"/>
    <n v="32471.87003087853"/>
    <n v="9079.5299691214641"/>
    <n v="0.21851321421471875"/>
    <n v="26"/>
    <n v="0.5"/>
    <n v="3196.2615384615378"/>
    <n v="1598.1307692307689"/>
    <n v="0.78148678578528119"/>
  </r>
  <r>
    <x v="25"/>
    <x v="1"/>
    <n v="81000"/>
    <n v="180"/>
    <n v="15333.4"/>
    <n v="0.35020454539558848"/>
    <n v="19120"/>
    <n v="6695.9109079636519"/>
    <n v="22029.310907963652"/>
    <n v="58970.689092036351"/>
    <n v="0.72803319866711547"/>
    <n v="26"/>
    <n v="6.9230769230769234"/>
    <n v="450"/>
    <n v="3115.3846153846152"/>
    <n v="0.27196680133288459"/>
  </r>
  <r>
    <x v="25"/>
    <x v="2"/>
    <n v="108742"/>
    <n v="34"/>
    <n v="27027"/>
    <n v="0.47014744043712448"/>
    <n v="19120"/>
    <n v="8989.2190611578208"/>
    <n v="36016.219061157819"/>
    <n v="72725.780938842188"/>
    <n v="0.66879201172354918"/>
    <n v="26"/>
    <n v="1.3076923076923077"/>
    <n v="3198.294117647059"/>
    <n v="4182.3846153846152"/>
    <n v="0.33120798827645087"/>
  </r>
  <r>
    <x v="26"/>
    <x v="0"/>
    <n v="54214.6"/>
    <n v="17"/>
    <n v="30122"/>
    <n v="0.30385636732731086"/>
    <n v="2740"/>
    <n v="832.56644647683174"/>
    <n v="30954.566446476831"/>
    <n v="23260.033553523168"/>
    <n v="0.42903633990702078"/>
    <n v="28"/>
    <n v="0.6071428571428571"/>
    <n v="3189.0941176470587"/>
    <n v="1936.2357142857143"/>
    <n v="0.57096366009297927"/>
  </r>
  <r>
    <x v="26"/>
    <x v="1"/>
    <n v="0"/>
    <n v="0"/>
    <n v="14403.46"/>
    <n v="0"/>
    <n v="2740"/>
    <n v="0"/>
    <n v="14403.46"/>
    <n v="-14403.46"/>
    <s v="-"/>
    <n v="28"/>
    <n v="0"/>
    <n v="0"/>
    <n v="0"/>
    <n v="0"/>
  </r>
  <r>
    <x v="26"/>
    <x v="2"/>
    <n v="124207.20000000001"/>
    <n v="90"/>
    <n v="29512"/>
    <n v="0.69614363267268908"/>
    <n v="2740"/>
    <n v="1907.433553523168"/>
    <n v="31419.433553523169"/>
    <n v="92787.766446476846"/>
    <n v="0.74704015907674304"/>
    <n v="28"/>
    <n v="3.2142857142857144"/>
    <n v="1380.0800000000002"/>
    <n v="4435.971428571429"/>
    <n v="0.25295984092325702"/>
  </r>
  <r>
    <x v="27"/>
    <x v="0"/>
    <n v="25320"/>
    <n v="11"/>
    <n v="29762"/>
    <n v="0.29998578266432868"/>
    <n v="7000"/>
    <n v="2099.9004786503006"/>
    <n v="31861.900478650299"/>
    <n v="-6541.9004786502992"/>
    <n v="-0.25836889726107026"/>
    <n v="27"/>
    <n v="0.40740740740740738"/>
    <n v="2301.818181818182"/>
    <n v="937.77777777777783"/>
    <n v="1.2583688972610703"/>
  </r>
  <r>
    <x v="27"/>
    <x v="1"/>
    <n v="0"/>
    <n v="0"/>
    <n v="22333.46"/>
    <n v="0"/>
    <n v="7000"/>
    <n v="0"/>
    <n v="22333.46"/>
    <n v="-22333.46"/>
    <s v="-"/>
    <n v="27"/>
    <n v="0"/>
    <n v="0"/>
    <n v="0"/>
    <n v="0"/>
  </r>
  <r>
    <x v="27"/>
    <x v="2"/>
    <n v="59084"/>
    <n v="66"/>
    <n v="33722"/>
    <n v="0.70001421733567126"/>
    <n v="7000"/>
    <n v="4900.099521349699"/>
    <n v="38622.099521349701"/>
    <n v="20461.900478650299"/>
    <n v="0.34631880845322421"/>
    <n v="27"/>
    <n v="2.4444444444444446"/>
    <n v="895.21212121212125"/>
    <n v="2188.2962962962961"/>
    <n v="0.65368119154677584"/>
  </r>
  <r>
    <x v="28"/>
    <x v="0"/>
    <n v="4760"/>
    <n v="2"/>
    <n v="31852"/>
    <n v="5.2587968844942816E-2"/>
    <n v="3200"/>
    <n v="168.28150030381701"/>
    <n v="32020.281500303816"/>
    <n v="-27260.281500303816"/>
    <n v="-5.7269498950218098"/>
    <n v="28"/>
    <n v="7.1428571428571425E-2"/>
    <n v="2380"/>
    <n v="170"/>
    <n v="6.7269498950218098"/>
  </r>
  <r>
    <x v="28"/>
    <x v="1"/>
    <n v="10216.799999999999"/>
    <n v="3"/>
    <n v="24773.809999999998"/>
    <n v="0.11287410926365793"/>
    <n v="3200"/>
    <n v="361.19714964370536"/>
    <n v="25135.007149643701"/>
    <n v="-14918.207149643702"/>
    <n v="-1.4601643518169782"/>
    <n v="28"/>
    <n v="0.10714285714285714"/>
    <n v="3405.6"/>
    <n v="364.88571428571424"/>
    <n v="2.460164351816978"/>
  </r>
  <r>
    <x v="28"/>
    <x v="2"/>
    <n v="75538.200000000012"/>
    <n v="58"/>
    <n v="30062"/>
    <n v="0.83453792189139919"/>
    <n v="3200"/>
    <n v="2670.5213500524774"/>
    <n v="32732.521350052477"/>
    <n v="42805.678649947535"/>
    <n v="0.56667591562874853"/>
    <n v="28"/>
    <n v="2.0714285714285716"/>
    <n v="1302.3827586206899"/>
    <n v="2697.7928571428574"/>
    <n v="0.43332408437125153"/>
  </r>
  <r>
    <x v="29"/>
    <x v="0"/>
    <n v="15008.6"/>
    <n v="7"/>
    <n v="29086"/>
    <n v="0.32623703407440902"/>
    <n v="700"/>
    <n v="228.3659238520863"/>
    <n v="29314.365923852085"/>
    <n v="-14305.765923852085"/>
    <n v="-0.95317124341058357"/>
    <n v="27"/>
    <n v="0.25925925925925924"/>
    <n v="2144.0857142857144"/>
    <n v="555.87407407407409"/>
    <n v="1.9531712434105835"/>
  </r>
  <r>
    <x v="29"/>
    <x v="1"/>
    <n v="0"/>
    <n v="0"/>
    <n v="13676.96"/>
    <n v="0"/>
    <n v="700"/>
    <n v="0"/>
    <n v="13676.96"/>
    <n v="-13676.96"/>
    <s v="-"/>
    <n v="27"/>
    <n v="0"/>
    <n v="0"/>
    <n v="0"/>
    <n v="0"/>
  </r>
  <r>
    <x v="29"/>
    <x v="2"/>
    <n v="30996.6"/>
    <n v="13"/>
    <n v="26626"/>
    <n v="0.67376296592559104"/>
    <n v="700"/>
    <n v="471.63407614791373"/>
    <n v="27097.634076147915"/>
    <n v="3898.9659238520835"/>
    <n v="0.12578689029932585"/>
    <n v="27"/>
    <n v="0.48148148148148145"/>
    <n v="2384.353846153846"/>
    <n v="1148.0222222222221"/>
    <n v="0.87421310970067412"/>
  </r>
  <r>
    <x v="30"/>
    <x v="0"/>
    <n v="16806.400000000001"/>
    <n v="8"/>
    <n v="27384"/>
    <n v="0.31942950328621011"/>
    <n v="2600"/>
    <n v="830.51670854414635"/>
    <n v="28214.516708544146"/>
    <n v="-11408.116708544145"/>
    <n v="-0.6787959770411357"/>
    <n v="28"/>
    <n v="0.2857142857142857"/>
    <n v="2100.8000000000002"/>
    <n v="600.22857142857151"/>
    <n v="1.6787959770411358"/>
  </r>
  <r>
    <x v="30"/>
    <x v="1"/>
    <n v="6605.4"/>
    <n v="3"/>
    <n v="15253.8"/>
    <n v="0.12554500910407534"/>
    <n v="2600"/>
    <n v="326.41702367059588"/>
    <n v="15580.217023670595"/>
    <n v="-8974.8170236705955"/>
    <n v="-1.3587090900885028"/>
    <n v="28"/>
    <n v="0.10714285714285714"/>
    <n v="2201.7999999999997"/>
    <n v="235.90714285714284"/>
    <n v="2.3587090900885026"/>
  </r>
  <r>
    <x v="30"/>
    <x v="2"/>
    <n v="29202"/>
    <n v="10"/>
    <n v="28444"/>
    <n v="0.55502548760971449"/>
    <n v="2600"/>
    <n v="1443.0662677852577"/>
    <n v="29887.066267785256"/>
    <n v="-685.06626778525606"/>
    <n v="-2.3459566734650231E-2"/>
    <n v="28"/>
    <n v="0.35714285714285715"/>
    <n v="2920.2"/>
    <n v="1042.9285714285713"/>
    <n v="1.0234595667346502"/>
  </r>
  <r>
    <x v="31"/>
    <x v="0"/>
    <n v="12008.599999999999"/>
    <n v="4"/>
    <n v="27042"/>
    <n v="0.14459064397898191"/>
    <n v="6080"/>
    <n v="879.11111539221008"/>
    <n v="27921.11111539221"/>
    <n v="-15912.511115392212"/>
    <n v="-1.325092943006863"/>
    <n v="28"/>
    <n v="0.14285714285714285"/>
    <n v="3002.1499999999996"/>
    <n v="428.87857142857138"/>
    <n v="2.325092943006863"/>
  </r>
  <r>
    <x v="31"/>
    <x v="1"/>
    <n v="28877.4"/>
    <n v="12"/>
    <n v="20108.559999999998"/>
    <n v="0.34770096950840673"/>
    <n v="6080"/>
    <n v="2114.0218946111131"/>
    <n v="22222.58189461111"/>
    <n v="6654.8181053888911"/>
    <n v="0.23045073674876862"/>
    <n v="28"/>
    <n v="0.42857142857142855"/>
    <n v="2406.4500000000003"/>
    <n v="1031.3357142857144"/>
    <n v="0.76954926325123141"/>
  </r>
  <r>
    <x v="31"/>
    <x v="2"/>
    <n v="42166.400000000009"/>
    <n v="24"/>
    <n v="29452"/>
    <n v="0.50770838651261141"/>
    <n v="6080"/>
    <n v="3086.8669899966771"/>
    <n v="32538.866989996677"/>
    <n v="9627.5330100033316"/>
    <n v="0.22832238488472645"/>
    <n v="28"/>
    <n v="0.8571428571428571"/>
    <n v="1756.9333333333336"/>
    <n v="1505.9428571428575"/>
    <n v="0.77167761511527355"/>
  </r>
  <r>
    <x v="32"/>
    <x v="0"/>
    <n v="10660"/>
    <n v="4"/>
    <n v="29762"/>
    <n v="1"/>
    <n v="4000"/>
    <n v="4000"/>
    <n v="33762"/>
    <n v="-23102"/>
    <n v="-2.1671669793621011"/>
    <n v="27"/>
    <n v="0.14814814814814814"/>
    <n v="2665"/>
    <n v="394.81481481481484"/>
    <n v="3.1671669793621011"/>
  </r>
  <r>
    <x v="32"/>
    <x v="1"/>
    <n v="0"/>
    <n v="0"/>
    <n v="14285.05"/>
    <n v="0"/>
    <n v="4000"/>
    <n v="0"/>
    <n v="14285.05"/>
    <n v="-14285.05"/>
    <s v="-"/>
    <n v="27"/>
    <n v="0"/>
    <n v="0"/>
    <n v="0"/>
    <n v="0"/>
  </r>
  <r>
    <x v="32"/>
    <x v="2"/>
    <n v="0"/>
    <n v="0"/>
    <n v="24572"/>
    <n v="0"/>
    <n v="4000"/>
    <n v="0"/>
    <n v="24572"/>
    <n v="-24572"/>
    <s v="-"/>
    <n v="27"/>
    <n v="0"/>
    <n v="0"/>
    <n v="0"/>
    <n v="0"/>
  </r>
  <r>
    <x v="33"/>
    <x v="0"/>
    <n v="17056.599999999999"/>
    <n v="6"/>
    <n v="31889"/>
    <n v="0.57904170881907613"/>
    <n v="10500"/>
    <n v="6079.9379426002997"/>
    <n v="37968.9379426003"/>
    <n v="-20912.337942600301"/>
    <n v="-1.2260554824877352"/>
    <n v="28"/>
    <n v="0.21428571428571427"/>
    <n v="2842.7666666666664"/>
    <n v="609.16428571428571"/>
    <n v="2.2260554824877352"/>
  </r>
  <r>
    <x v="33"/>
    <x v="1"/>
    <n v="0"/>
    <n v="0"/>
    <n v="16974.89"/>
    <n v="0"/>
    <n v="10500"/>
    <n v="0"/>
    <n v="16974.89"/>
    <n v="-16974.89"/>
    <s v="-"/>
    <n v="28"/>
    <n v="0"/>
    <n v="0"/>
    <n v="0"/>
    <n v="0"/>
  </r>
  <r>
    <x v="33"/>
    <x v="2"/>
    <n v="12400"/>
    <n v="10"/>
    <n v="38419"/>
    <n v="0.42095829118092382"/>
    <n v="10500"/>
    <n v="4420.0620573997003"/>
    <n v="42839.0620573997"/>
    <n v="-30439.0620573997"/>
    <n v="-2.454763069145137"/>
    <n v="28"/>
    <n v="0.35714285714285715"/>
    <n v="1240"/>
    <n v="442.85714285714283"/>
    <n v="3.454763069145137"/>
  </r>
  <r>
    <x v="34"/>
    <x v="0"/>
    <n v="21620"/>
    <n v="6"/>
    <n v="36981"/>
    <n v="0.70539716927574436"/>
    <n v="22400"/>
    <n v="15800.896591776675"/>
    <n v="52781.896591776676"/>
    <n v="-31161.896591776676"/>
    <n v="-1.4413458183060441"/>
    <n v="27"/>
    <n v="0.22222222222222221"/>
    <n v="3603.3333333333335"/>
    <n v="800.74074074074076"/>
    <n v="2.4413458183060444"/>
  </r>
  <r>
    <x v="34"/>
    <x v="1"/>
    <n v="9029.4000000000015"/>
    <n v="3"/>
    <n v="33889.410000000003"/>
    <n v="0.29460283072425564"/>
    <n v="22400"/>
    <n v="6599.1034082233264"/>
    <n v="40488.513408223327"/>
    <n v="-31459.113408223326"/>
    <n v="-3.4840757313025583"/>
    <n v="27"/>
    <n v="0.1111111111111111"/>
    <n v="3009.8000000000006"/>
    <n v="334.42222222222227"/>
    <n v="4.4840757313025588"/>
  </r>
  <r>
    <x v="34"/>
    <x v="2"/>
    <n v="0"/>
    <n v="0"/>
    <n v="26391"/>
    <n v="0"/>
    <n v="22400"/>
    <n v="0"/>
    <n v="26391"/>
    <n v="-26391"/>
    <s v="-"/>
    <n v="27"/>
    <n v="0"/>
    <n v="0"/>
    <n v="0"/>
    <n v="0"/>
  </r>
  <r>
    <x v="35"/>
    <x v="0"/>
    <n v="74203.600000000006"/>
    <n v="18"/>
    <n v="28997"/>
    <n v="0.47593196683774586"/>
    <n v="9167.869999999999"/>
    <n v="4363.2824008127645"/>
    <n v="33360.282400812765"/>
    <n v="40843.317599187241"/>
    <n v="0.55042231912181128"/>
    <n v="28"/>
    <n v="0.6428571428571429"/>
    <n v="4122.4222222222224"/>
    <n v="2650.1285714285718"/>
    <n v="0.44957768087818867"/>
  </r>
  <r>
    <x v="35"/>
    <x v="1"/>
    <n v="81708.600000000006"/>
    <n v="24"/>
    <n v="26052.94"/>
    <n v="0.52406803316225414"/>
    <n v="9167.869999999999"/>
    <n v="4804.5875991872344"/>
    <n v="30857.527599187233"/>
    <n v="50851.072400812773"/>
    <n v="0.62234663671648727"/>
    <n v="28"/>
    <n v="0.8571428571428571"/>
    <n v="3404.5250000000001"/>
    <n v="2918.1642857142861"/>
    <n v="0.37765336328351279"/>
  </r>
  <r>
    <x v="35"/>
    <x v="2"/>
    <n v="0"/>
    <n v="0"/>
    <n v="23787"/>
    <n v="0"/>
    <n v="9167.869999999999"/>
    <n v="0"/>
    <n v="23787"/>
    <n v="-23787"/>
    <s v="-"/>
    <n v="28"/>
    <n v="0"/>
    <n v="0"/>
    <n v="0"/>
    <n v="0"/>
  </r>
  <r>
    <x v="36"/>
    <x v="0"/>
    <n v="73350.799999999988"/>
    <n v="22"/>
    <n v="44300"/>
    <n v="0.3781296524647495"/>
    <n v="7310"/>
    <n v="2764.1277595173187"/>
    <n v="47064.127759517316"/>
    <n v="26286.672240482672"/>
    <n v="0.35836926441814781"/>
    <n v="28"/>
    <n v="0.7857142857142857"/>
    <n v="3334.1272727272722"/>
    <n v="2619.6714285714284"/>
    <n v="0.64163073558185224"/>
  </r>
  <r>
    <x v="36"/>
    <x v="1"/>
    <n v="13812"/>
    <n v="5"/>
    <n v="13150"/>
    <n v="7.1202042238709337E-2"/>
    <n v="7310"/>
    <n v="520.48692876496523"/>
    <n v="13670.486928764965"/>
    <n v="141.51307123503466"/>
    <n v="1.0245661108820928E-2"/>
    <n v="28"/>
    <n v="0.17857142857142858"/>
    <n v="2762.4"/>
    <n v="493.28571428571428"/>
    <n v="0.98975433889117903"/>
  </r>
  <r>
    <x v="36"/>
    <x v="2"/>
    <n v="106820.4"/>
    <n v="32"/>
    <n v="25040"/>
    <n v="0.55066830529654121"/>
    <n v="7310"/>
    <n v="4025.3853117177164"/>
    <n v="29065.385311717717"/>
    <n v="77755.014688282274"/>
    <n v="0.72790417081645709"/>
    <n v="28"/>
    <n v="1.1428571428571428"/>
    <n v="3338.1374999999998"/>
    <n v="3815.0142857142855"/>
    <n v="0.2720958291835428"/>
  </r>
  <r>
    <x v="37"/>
    <x v="0"/>
    <n v="11211"/>
    <n v="5"/>
    <n v="22127"/>
    <n v="0.17506574139427972"/>
    <n v="5840"/>
    <n v="1022.3839297425935"/>
    <n v="23149.383929742595"/>
    <n v="-11938.383929742595"/>
    <n v="-1.0648812710500932"/>
    <n v="25"/>
    <n v="0.2"/>
    <n v="2242.1999999999998"/>
    <n v="448.44"/>
    <n v="2.0648812710500932"/>
  </r>
  <r>
    <x v="37"/>
    <x v="1"/>
    <n v="28981.8"/>
    <n v="24"/>
    <n v="13500"/>
    <n v="0.45256625670687145"/>
    <n v="5840"/>
    <n v="2642.9869391681291"/>
    <n v="16142.98693916813"/>
    <n v="12838.81306083187"/>
    <n v="0.44299570974997654"/>
    <n v="25"/>
    <n v="0.96"/>
    <n v="1207.575"/>
    <n v="1159.2719999999999"/>
    <n v="0.55700429025002351"/>
  </r>
  <r>
    <x v="37"/>
    <x v="2"/>
    <n v="23846"/>
    <n v="10"/>
    <n v="30167"/>
    <n v="0.37236800189884883"/>
    <n v="5840"/>
    <n v="2174.6291310892771"/>
    <n v="32341.629131089278"/>
    <n v="-8495.6291310892775"/>
    <n v="-0.35627061692062728"/>
    <n v="25"/>
    <n v="0.4"/>
    <n v="2384.6"/>
    <n v="953.84"/>
    <n v="1.3562706169206273"/>
  </r>
  <r>
    <x v="38"/>
    <x v="0"/>
    <n v="34225.199999999997"/>
    <n v="18"/>
    <n v="31432"/>
    <n v="0.71359587670136104"/>
    <n v="5950"/>
    <n v="4245.8954663730983"/>
    <n v="35677.895466373098"/>
    <n v="-1452.6954663731012"/>
    <n v="-4.2445200214260292E-2"/>
    <n v="28"/>
    <n v="0.6428571428571429"/>
    <n v="1901.3999999999999"/>
    <n v="1222.3285714285714"/>
    <n v="1.0424452002142603"/>
  </r>
  <r>
    <x v="38"/>
    <x v="1"/>
    <n v="13736.4"/>
    <n v="6"/>
    <n v="13250"/>
    <n v="0.2864041232986389"/>
    <n v="5950"/>
    <n v="1704.1045336269015"/>
    <n v="14954.104533626902"/>
    <n v="-1217.704533626902"/>
    <n v="-8.8648010659772722E-2"/>
    <n v="28"/>
    <n v="0.21428571428571427"/>
    <n v="2289.4"/>
    <n v="490.58571428571429"/>
    <n v="1.0886480106597727"/>
  </r>
  <r>
    <x v="38"/>
    <x v="2"/>
    <n v="0"/>
    <n v="0"/>
    <n v="32682"/>
    <n v="0"/>
    <n v="5950"/>
    <n v="0"/>
    <n v="32682"/>
    <n v="-32682"/>
    <s v="-"/>
    <n v="28"/>
    <n v="0"/>
    <n v="0"/>
    <n v="0"/>
    <n v="0"/>
  </r>
  <r>
    <x v="39"/>
    <x v="0"/>
    <n v="27155.8"/>
    <n v="13"/>
    <n v="30927"/>
    <n v="0.37746481222530182"/>
    <n v="2000"/>
    <n v="754.92962445060368"/>
    <n v="31681.929624450604"/>
    <n v="-4526.1296244506048"/>
    <n v="-0.16667266751303975"/>
    <n v="27"/>
    <n v="0.48148148148148145"/>
    <n v="2088.9076923076923"/>
    <n v="1005.7703703703703"/>
    <n v="1.1666726675130397"/>
  </r>
  <r>
    <x v="39"/>
    <x v="1"/>
    <n v="13580"/>
    <n v="5"/>
    <n v="12970"/>
    <n v="0.18876159605018444"/>
    <n v="2000"/>
    <n v="377.52319210036887"/>
    <n v="13347.523192100369"/>
    <n v="232.47680789963124"/>
    <n v="1.7119058019118647E-2"/>
    <n v="27"/>
    <n v="0.18518518518518517"/>
    <n v="2716"/>
    <n v="502.96296296296299"/>
    <n v="0.98288094198088138"/>
  </r>
  <r>
    <x v="39"/>
    <x v="2"/>
    <n v="31206.800000000003"/>
    <n v="12"/>
    <n v="28492"/>
    <n v="0.43377359172451374"/>
    <n v="2000"/>
    <n v="867.54718344902744"/>
    <n v="29359.547183449027"/>
    <n v="1847.2528165509757"/>
    <n v="5.9193919804368778E-2"/>
    <n v="27"/>
    <n v="0.44444444444444442"/>
    <n v="2600.5666666666671"/>
    <n v="1155.8074074074075"/>
    <n v="0.94080608019563128"/>
  </r>
  <r>
    <x v="40"/>
    <x v="0"/>
    <n v="0"/>
    <n v="0"/>
    <n v="28702"/>
    <n v="0"/>
    <n v="4620"/>
    <n v="0"/>
    <n v="28702"/>
    <n v="-28702"/>
    <s v="-"/>
    <n v="28"/>
    <n v="0"/>
    <n v="0"/>
    <n v="0"/>
    <n v="0"/>
  </r>
  <r>
    <x v="40"/>
    <x v="1"/>
    <n v="12480"/>
    <n v="6"/>
    <n v="13520"/>
    <n v="0.48577700966883086"/>
    <n v="4620"/>
    <n v="2244.2897846699984"/>
    <n v="15764.289784669998"/>
    <n v="-3284.289784669998"/>
    <n v="-0.26316424556650625"/>
    <n v="28"/>
    <n v="0.21428571428571427"/>
    <n v="2080"/>
    <n v="445.71428571428572"/>
    <n v="1.2631642455665062"/>
  </r>
  <r>
    <x v="40"/>
    <x v="2"/>
    <n v="13210.8"/>
    <n v="6"/>
    <n v="30002"/>
    <n v="0.51422299033116914"/>
    <n v="4620"/>
    <n v="2375.7102153300016"/>
    <n v="32377.71021533"/>
    <n v="-19166.910215330001"/>
    <n v="-1.4508515922828293"/>
    <n v="28"/>
    <n v="0.21428571428571427"/>
    <n v="2201.7999999999997"/>
    <n v="471.81428571428569"/>
    <n v="2.4508515922828296"/>
  </r>
  <r>
    <x v="41"/>
    <x v="0"/>
    <n v="0"/>
    <n v="0"/>
    <n v="24816"/>
    <n v="0"/>
    <n v="6200"/>
    <n v="0"/>
    <n v="24816"/>
    <n v="-24816"/>
    <s v="-"/>
    <n v="27"/>
    <n v="0"/>
    <n v="0"/>
    <n v="0"/>
    <n v="0"/>
  </r>
  <r>
    <x v="41"/>
    <x v="1"/>
    <n v="4960.4000000000005"/>
    <n v="2"/>
    <n v="12400"/>
    <n v="1"/>
    <n v="6200"/>
    <n v="6200"/>
    <n v="18600"/>
    <n v="-13639.599999999999"/>
    <n v="-2.7496976050318516"/>
    <n v="27"/>
    <n v="7.407407407407407E-2"/>
    <n v="2480.2000000000003"/>
    <n v="183.71851851851855"/>
    <n v="3.749697605031852"/>
  </r>
  <r>
    <x v="42"/>
    <x v="0"/>
    <n v="23780"/>
    <n v="11"/>
    <n v="26184"/>
    <n v="0.84719193991991215"/>
    <n v="7200"/>
    <n v="6099.7819674233679"/>
    <n v="32283.781967423369"/>
    <n v="-8503.7819674233688"/>
    <n v="-0.35760226944589441"/>
    <n v="28"/>
    <n v="0.39285714285714285"/>
    <n v="2161.818181818182"/>
    <n v="849.28571428571433"/>
    <n v="1.3576022694458945"/>
  </r>
  <r>
    <x v="42"/>
    <x v="1"/>
    <n v="4289.2"/>
    <n v="2"/>
    <n v="11000"/>
    <n v="0.15280806008008777"/>
    <n v="7200"/>
    <n v="1100.2180325766319"/>
    <n v="12100.218032576631"/>
    <n v="-7811.0180325766314"/>
    <n v="-1.8210897212945611"/>
    <n v="28"/>
    <n v="7.1428571428571425E-2"/>
    <n v="2144.6"/>
    <n v="153.18571428571428"/>
    <n v="2.8210897212945611"/>
  </r>
  <r>
    <x v="43"/>
    <x v="0"/>
    <n v="3808.3999999999996"/>
    <n v="2"/>
    <n v="27442"/>
    <n v="1"/>
    <n v="1700"/>
    <n v="1700"/>
    <n v="29142"/>
    <n v="-25333.599999999999"/>
    <n v="-6.6520323495431155"/>
    <n v="28"/>
    <n v="7.1428571428571425E-2"/>
    <n v="1904.1999999999998"/>
    <n v="136.01428571428571"/>
    <n v="7.6520323495431155"/>
  </r>
  <r>
    <x v="43"/>
    <x v="1"/>
    <n v="0"/>
    <n v="0"/>
    <n v="11000"/>
    <n v="0"/>
    <n v="1700"/>
    <n v="0"/>
    <n v="11000"/>
    <n v="-11000"/>
    <s v="-"/>
    <n v="28"/>
    <n v="0"/>
    <n v="0"/>
    <n v="0"/>
    <n v="0"/>
  </r>
  <r>
    <x v="44"/>
    <x v="0"/>
    <n v="0"/>
    <n v="0"/>
    <n v="24662"/>
    <n v="0"/>
    <n v="5600"/>
    <n v="2800"/>
    <n v="27462"/>
    <n v="-27462"/>
    <s v="-"/>
    <n v="27"/>
    <n v="0"/>
    <n v="0"/>
    <n v="0"/>
    <n v="0"/>
  </r>
  <r>
    <x v="44"/>
    <x v="1"/>
    <n v="0"/>
    <n v="0"/>
    <n v="11600"/>
    <n v="0"/>
    <n v="5600"/>
    <n v="2800"/>
    <n v="14400"/>
    <n v="-14400"/>
    <s v="-"/>
    <n v="27"/>
    <n v="0"/>
    <n v="0"/>
    <n v="0"/>
    <n v="0"/>
  </r>
  <r>
    <x v="45"/>
    <x v="0"/>
    <n v="5400"/>
    <n v="3"/>
    <n v="24389"/>
    <n v="1"/>
    <n v="4000"/>
    <n v="4000"/>
    <n v="28389"/>
    <n v="-22989"/>
    <n v="-4.2572222222222225"/>
    <n v="28"/>
    <n v="0.10714285714285714"/>
    <n v="1800"/>
    <n v="192.85714285714286"/>
    <n v="5.2572222222222225"/>
  </r>
  <r>
    <x v="45"/>
    <x v="1"/>
    <n v="0"/>
    <n v="0"/>
    <n v="12500"/>
    <n v="0"/>
    <n v="4000"/>
    <n v="0"/>
    <n v="12500"/>
    <n v="-12500"/>
    <s v="-"/>
    <n v="28"/>
    <n v="0"/>
    <n v="0"/>
    <n v="0"/>
    <n v="0"/>
  </r>
  <r>
    <x v="46"/>
    <x v="0"/>
    <n v="48000"/>
    <n v="21"/>
    <n v="24141"/>
    <n v="1"/>
    <n v="500"/>
    <n v="500"/>
    <n v="24641"/>
    <n v="23359"/>
    <n v="0.48664583333333333"/>
    <n v="27"/>
    <n v="0.77777777777777779"/>
    <n v="2285.7142857142858"/>
    <n v="1777.7777777777778"/>
    <n v="0.51335416666666667"/>
  </r>
  <r>
    <x v="46"/>
    <x v="1"/>
    <n v="0"/>
    <n v="0"/>
    <n v="14400"/>
    <n v="0"/>
    <n v="500"/>
    <n v="0"/>
    <n v="14400"/>
    <n v="-14400"/>
    <s v="-"/>
    <n v="27"/>
    <n v="0"/>
    <n v="0"/>
    <n v="0"/>
    <n v="0"/>
  </r>
  <r>
    <x v="47"/>
    <x v="0"/>
    <n v="9100"/>
    <n v="3"/>
    <n v="26707"/>
    <n v="0.16221033868092691"/>
    <n v="21580"/>
    <n v="3500.4991087344029"/>
    <n v="30207.499108734402"/>
    <n v="-21107.499108734402"/>
    <n v="-2.3195053965642201"/>
    <n v="28"/>
    <n v="0.10714285714285714"/>
    <n v="3033.3333333333335"/>
    <n v="325"/>
    <n v="3.3195053965642201"/>
  </r>
  <r>
    <x v="47"/>
    <x v="1"/>
    <n v="47000"/>
    <n v="11"/>
    <n v="15200"/>
    <n v="0.83778966131907306"/>
    <n v="21580"/>
    <n v="18079.500891265598"/>
    <n v="33279.500891265598"/>
    <n v="13720.499108734402"/>
    <n v="0.29192551295179581"/>
    <n v="28"/>
    <n v="0.39285714285714285"/>
    <n v="4272.727272727273"/>
    <n v="1678.5714285714287"/>
    <n v="0.70807448704820419"/>
  </r>
  <r>
    <x v="48"/>
    <x v="0"/>
    <n v="53519.8"/>
    <n v="24"/>
    <n v="40258"/>
    <n v="0.46035527999889903"/>
    <n v="9950"/>
    <n v="4580.5350359890454"/>
    <n v="44838.535035989044"/>
    <n v="8681.2649640109594"/>
    <n v="0.16220660323863242"/>
    <n v="28"/>
    <n v="0.8571428571428571"/>
    <n v="2229.9916666666668"/>
    <n v="1911.4214285714286"/>
    <n v="0.83779339676136755"/>
  </r>
  <r>
    <x v="48"/>
    <x v="1"/>
    <n v="62737.8"/>
    <n v="19"/>
    <n v="18265"/>
    <n v="0.53964472000110097"/>
    <n v="9950"/>
    <n v="5369.4649640109546"/>
    <n v="23634.464964010956"/>
    <n v="39103.335035989046"/>
    <n v="0.62328189761179142"/>
    <n v="28"/>
    <n v="0.6785714285714286"/>
    <n v="3301.9894736842107"/>
    <n v="2240.6357142857146"/>
    <n v="0.37671810238820863"/>
  </r>
  <r>
    <x v="49"/>
    <x v="0"/>
    <n v="33216.400000000001"/>
    <n v="21"/>
    <n v="36757"/>
    <n v="1"/>
    <n v="20080"/>
    <n v="20080"/>
    <n v="56837"/>
    <n v="-23620.6"/>
    <n v="-0.71111258294095681"/>
    <n v="25"/>
    <n v="0.84"/>
    <n v="1581.7333333333333"/>
    <n v="1328.6559999999999"/>
    <n v="1.7111125829409568"/>
  </r>
  <r>
    <x v="49"/>
    <x v="1"/>
    <n v="0"/>
    <n v="0"/>
    <n v="14000"/>
    <n v="0"/>
    <n v="20080"/>
    <n v="0"/>
    <n v="14000"/>
    <n v="-14000"/>
    <s v="-"/>
    <n v="25"/>
    <n v="0"/>
    <n v="0"/>
    <n v="0"/>
    <n v="0"/>
  </r>
  <r>
    <x v="50"/>
    <x v="0"/>
    <n v="19460"/>
    <n v="12"/>
    <n v="43442"/>
    <n v="1"/>
    <n v="5970"/>
    <n v="5970"/>
    <n v="49412"/>
    <n v="-29952"/>
    <n v="-1.5391572456320657"/>
    <n v="28"/>
    <n v="0.42857142857142855"/>
    <n v="1621.6666666666667"/>
    <n v="695"/>
    <n v="2.5391572456320657"/>
  </r>
  <r>
    <x v="50"/>
    <x v="1"/>
    <n v="0"/>
    <n v="0"/>
    <n v="11000"/>
    <n v="0"/>
    <n v="5970"/>
    <n v="0"/>
    <n v="11000"/>
    <n v="-11000"/>
    <s v="-"/>
    <n v="28"/>
    <n v="0"/>
    <n v="0"/>
    <n v="0"/>
    <n v="0"/>
  </r>
  <r>
    <x v="51"/>
    <x v="0"/>
    <n v="44380"/>
    <n v="19"/>
    <n v="37542"/>
    <n v="1"/>
    <n v="3090"/>
    <n v="3090"/>
    <n v="40632"/>
    <n v="3748"/>
    <n v="8.4452456061288872E-2"/>
    <n v="27"/>
    <n v="0.70370370370370372"/>
    <n v="2335.7894736842104"/>
    <n v="1643.7037037037037"/>
    <n v="0.91554754393871118"/>
  </r>
  <r>
    <x v="51"/>
    <x v="1"/>
    <n v="0"/>
    <n v="0"/>
    <n v="11600"/>
    <n v="0"/>
    <n v="3090"/>
    <n v="0"/>
    <n v="11600"/>
    <n v="-11600"/>
    <s v="-"/>
    <n v="27"/>
    <n v="0"/>
    <n v="0"/>
    <n v="0"/>
    <n v="0"/>
  </r>
  <r>
    <x v="52"/>
    <x v="0"/>
    <n v="3800"/>
    <n v="2"/>
    <n v="32502"/>
    <n v="1"/>
    <n v="0"/>
    <n v="0"/>
    <n v="32502"/>
    <n v="-28702"/>
    <n v="-7.5531578947368425"/>
    <n v="28"/>
    <n v="7.1428571428571425E-2"/>
    <n v="1900"/>
    <n v="135.71428571428572"/>
    <n v="8.5531578947368416"/>
  </r>
  <r>
    <x v="52"/>
    <x v="1"/>
    <n v="0"/>
    <n v="0"/>
    <n v="13200"/>
    <n v="0"/>
    <n v="0"/>
    <n v="0"/>
    <n v="13200"/>
    <n v="-13200"/>
    <s v="-"/>
    <n v="28"/>
    <n v="0"/>
    <n v="0"/>
    <n v="0"/>
    <n v="0"/>
  </r>
  <r>
    <x v="53"/>
    <x v="3"/>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8">
  <r>
    <x v="0"/>
    <d v="2022-03-18T00:00:00"/>
    <n v="3"/>
    <s v="B303"/>
    <s v="Emmeline Page"/>
    <n v="336.29"/>
    <n v="6725.8"/>
    <n v="67.25800000000001"/>
    <x v="0"/>
    <x v="0"/>
  </r>
  <r>
    <x v="0"/>
    <d v="2022-03-20T00:00:00"/>
    <n v="5"/>
    <s v="A302"/>
    <s v="Spencer Lanier"/>
    <n v="533.36"/>
    <n v="10667.2"/>
    <n v="106.67200000000001"/>
    <x v="0"/>
    <x v="0"/>
  </r>
  <r>
    <x v="1"/>
    <d v="2022-04-05T00:00:00"/>
    <n v="18"/>
    <s v="B303"/>
    <s v="Emmeline Page"/>
    <n v="1298"/>
    <n v="25960"/>
    <n v="259.60000000000002"/>
    <x v="0"/>
    <x v="0"/>
  </r>
  <r>
    <x v="2"/>
    <d v="2022-04-09T00:00:00"/>
    <n v="16"/>
    <s v="A302"/>
    <s v="Stephen Mack"/>
    <n v="857.89"/>
    <n v="17157.8"/>
    <n v="171.578"/>
    <x v="0"/>
    <x v="0"/>
  </r>
  <r>
    <x v="3"/>
    <d v="2022-03-27T00:00:00"/>
    <n v="2"/>
    <s v="A302"/>
    <s v="Jhonatham Cummings"/>
    <n v="291.54000000000002"/>
    <n v="5830.8"/>
    <n v="58.308000000000007"/>
    <x v="0"/>
    <x v="0"/>
  </r>
  <r>
    <x v="4"/>
    <d v="2022-04-05T00:00:00"/>
    <n v="4"/>
    <s v="A302"/>
    <s v="Ian Downie"/>
    <n v="448"/>
    <n v="8960"/>
    <n v="89.600000000000009"/>
    <x v="1"/>
    <x v="1"/>
  </r>
  <r>
    <x v="5"/>
    <d v="2022-04-10T00:00:00"/>
    <n v="2"/>
    <s v="B303"/>
    <s v="Ryan Walsh"/>
    <n v="268.94"/>
    <n v="5378.8"/>
    <n v="53.788000000000004"/>
    <x v="0"/>
    <x v="1"/>
  </r>
  <r>
    <x v="6"/>
    <d v="2022-04-15T00:00:00"/>
    <n v="5"/>
    <s v="A302"/>
    <s v="Misty Erkkila"/>
    <n v="627.15"/>
    <n v="12543"/>
    <n v="125.43"/>
    <x v="0"/>
    <x v="1"/>
  </r>
  <r>
    <x v="7"/>
    <d v="2022-04-16T00:00:00"/>
    <n v="3"/>
    <s v="B303"/>
    <s v="Taran Parmar"/>
    <n v="335.61"/>
    <n v="6712.2000000000007"/>
    <n v="67.122"/>
    <x v="0"/>
    <x v="1"/>
  </r>
  <r>
    <x v="8"/>
    <d v="2022-04-19T00:00:00"/>
    <n v="3"/>
    <s v="A302"/>
    <s v="Taran Parmar"/>
    <n v="360"/>
    <n v="7200"/>
    <n v="72"/>
    <x v="0"/>
    <x v="1"/>
  </r>
  <r>
    <x v="9"/>
    <d v="2022-04-30T00:00:00"/>
    <n v="13"/>
    <s v="B303"/>
    <s v="Sergey Kulagin"/>
    <n v="1449.39"/>
    <n v="28987.800000000003"/>
    <n v="289.87800000000004"/>
    <x v="0"/>
    <x v="1"/>
  </r>
  <r>
    <x v="10"/>
    <d v="2022-04-29T00:00:00"/>
    <n v="7"/>
    <s v="A302"/>
    <s v="Hilary Hoover"/>
    <n v="996.66"/>
    <n v="19933.2"/>
    <n v="199.33199999999999"/>
    <x v="0"/>
    <x v="1"/>
  </r>
  <r>
    <x v="11"/>
    <d v="2022-05-06T00:00:00"/>
    <n v="7"/>
    <s v="A302"/>
    <s v="Brian D'Antoni"/>
    <n v="996.32"/>
    <n v="19926.400000000001"/>
    <n v="199.26400000000001"/>
    <x v="0"/>
    <x v="1"/>
  </r>
  <r>
    <x v="12"/>
    <d v="2022-05-03T00:00:00"/>
    <n v="3"/>
    <s v="B303"/>
    <s v="Ken Komatsuda"/>
    <n v="403.41"/>
    <n v="8068.2000000000007"/>
    <n v="80.682000000000016"/>
    <x v="0"/>
    <x v="1"/>
  </r>
  <r>
    <x v="13"/>
    <d v="2022-05-13T00:00:00"/>
    <n v="6"/>
    <s v="A302"/>
    <s v="Adam Janik"/>
    <n v="952.59"/>
    <n v="19051.8"/>
    <n v="190.51800000000003"/>
    <x v="0"/>
    <x v="2"/>
  </r>
  <r>
    <x v="14"/>
    <d v="2022-05-11T00:00:00"/>
    <n v="3"/>
    <s v="B303"/>
    <s v="Fernanda Mendez"/>
    <n v="369.85"/>
    <n v="7397"/>
    <n v="73.970000000000013"/>
    <x v="0"/>
    <x v="2"/>
  </r>
  <r>
    <x v="15"/>
    <d v="2022-05-19T00:00:00"/>
    <n v="8"/>
    <s v="B303"/>
    <s v="Robin Marte"/>
    <n v="535.62"/>
    <n v="10712.4"/>
    <n v="107.12400000000001"/>
    <x v="0"/>
    <x v="2"/>
  </r>
  <r>
    <x v="16"/>
    <d v="2022-06-11T00:00:00"/>
    <n v="29"/>
    <s v="A302"/>
    <s v="Matthew Bourque"/>
    <n v="2646.62"/>
    <n v="52932.399999999994"/>
    <n v="529.32399999999996"/>
    <x v="0"/>
    <x v="2"/>
  </r>
  <r>
    <x v="17"/>
    <d v="2022-05-26T00:00:00"/>
    <n v="6"/>
    <s v="B303"/>
    <s v="Marci Chin"/>
    <n v="739.79"/>
    <n v="14795.8"/>
    <n v="147.958"/>
    <x v="0"/>
    <x v="2"/>
  </r>
  <r>
    <x v="18"/>
    <d v="2022-06-08T00:00:00"/>
    <n v="11"/>
    <s v="B303"/>
    <s v="Carrie-Anne Hume"/>
    <n v="1255.27"/>
    <n v="25105.4"/>
    <n v="251.054"/>
    <x v="0"/>
    <x v="2"/>
  </r>
  <r>
    <x v="19"/>
    <d v="2022-06-04T00:00:00"/>
    <n v="3"/>
    <s v="A302"/>
    <s v="Edric Snowe"/>
    <n v="233.91"/>
    <n v="4678.2"/>
    <n v="46.782000000000004"/>
    <x v="0"/>
    <x v="3"/>
  </r>
  <r>
    <x v="20"/>
    <d v="2022-06-11T00:00:00"/>
    <n v="3"/>
    <s v="B303"/>
    <s v="Ariana Villaverde"/>
    <n v="339.34"/>
    <n v="6786.7999999999993"/>
    <n v="67.867999999999995"/>
    <x v="0"/>
    <x v="3"/>
  </r>
  <r>
    <x v="21"/>
    <d v="2022-06-20T00:00:00"/>
    <n v="4"/>
    <s v="B303"/>
    <s v="Kerry Bole"/>
    <n v="470.53"/>
    <n v="9410.5999999999985"/>
    <n v="94.105999999999995"/>
    <x v="0"/>
    <x v="3"/>
  </r>
  <r>
    <x v="22"/>
    <d v="2022-06-28T00:00:00"/>
    <n v="4"/>
    <s v="B303"/>
    <s v="Kristena Ungvarsky"/>
    <n v="424.88"/>
    <n v="8497.6"/>
    <n v="84.975999999999999"/>
    <x v="0"/>
    <x v="3"/>
  </r>
  <r>
    <x v="22"/>
    <d v="2022-06-28T00:00:00"/>
    <n v="4"/>
    <s v="B303"/>
    <s v="Atv rental, Kristena Ungvarsky"/>
    <n v="110"/>
    <n v="2200"/>
    <n v="22"/>
    <x v="0"/>
    <x v="3"/>
  </r>
  <r>
    <x v="23"/>
    <d v="2022-06-28T00:00:00"/>
    <n v="3"/>
    <s v="A302"/>
    <s v="Ken Komatsuda"/>
    <n v="222.61"/>
    <n v="4452.2000000000007"/>
    <n v="44.522000000000006"/>
    <x v="0"/>
    <x v="3"/>
  </r>
  <r>
    <x v="24"/>
    <d v="2022-07-07T00:00:00"/>
    <n v="5"/>
    <s v="A302"/>
    <s v="Luke McCool"/>
    <n v="795.52"/>
    <n v="15910.4"/>
    <n v="159.10400000000001"/>
    <x v="0"/>
    <x v="4"/>
  </r>
  <r>
    <x v="25"/>
    <d v="2022-07-12T00:00:00"/>
    <n v="4"/>
    <s v="A302"/>
    <s v="Sina Mashady"/>
    <n v="648.62"/>
    <n v="12972.4"/>
    <n v="129.72400000000002"/>
    <x v="0"/>
    <x v="4"/>
  </r>
  <r>
    <x v="26"/>
    <d v="2022-07-31T00:00:00"/>
    <n v="22"/>
    <s v="B303"/>
    <s v="Raymond Russel"/>
    <n v="2268.8200000000002"/>
    <n v="45376.4"/>
    <n v="453.76400000000007"/>
    <x v="0"/>
    <x v="4"/>
  </r>
  <r>
    <x v="27"/>
    <d v="2022-07-19T00:00:00"/>
    <n v="4"/>
    <s v="A302"/>
    <s v="Brittany Tucker"/>
    <n v="706.25"/>
    <n v="14125"/>
    <n v="141.25"/>
    <x v="2"/>
    <x v="4"/>
  </r>
  <r>
    <x v="28"/>
    <d v="2022-08-08T00:00:00"/>
    <n v="6"/>
    <s v="A302"/>
    <s v="Mindy Holden"/>
    <n v="671.9"/>
    <n v="13438"/>
    <n v="134.38"/>
    <x v="0"/>
    <x v="5"/>
  </r>
  <r>
    <x v="29"/>
    <d v="2022-08-12T00:00:00"/>
    <n v="3"/>
    <s v="A302"/>
    <s v="Shane Dundas"/>
    <n v="514.71"/>
    <n v="10294.200000000001"/>
    <n v="102.94200000000001"/>
    <x v="0"/>
    <x v="5"/>
  </r>
  <r>
    <x v="30"/>
    <d v="2022-08-17T00:00:00"/>
    <n v="4"/>
    <s v="A302"/>
    <s v="Nikia Leamire"/>
    <n v="452.11"/>
    <n v="9042.2000000000007"/>
    <n v="90.422000000000011"/>
    <x v="0"/>
    <x v="5"/>
  </r>
  <r>
    <x v="31"/>
    <d v="2022-08-23T00:00:00"/>
    <n v="7"/>
    <s v="C301"/>
    <m/>
    <n v="631.62"/>
    <n v="12632.4"/>
    <n v="126.32400000000001"/>
    <x v="0"/>
    <x v="5"/>
  </r>
  <r>
    <x v="32"/>
    <d v="2022-08-29T00:00:00"/>
    <n v="5"/>
    <s v="C301"/>
    <s v="Alexis Dubourdieu"/>
    <n v="171.42"/>
    <n v="3428.3999999999996"/>
    <n v="34.283999999999999"/>
    <x v="3"/>
    <x v="5"/>
  </r>
  <r>
    <x v="32"/>
    <d v="2022-08-29T00:00:00"/>
    <n v="5"/>
    <s v="C301"/>
    <m/>
    <n v="171.42"/>
    <n v="3428.3999999999996"/>
    <n v="34.283999999999999"/>
    <x v="0"/>
    <x v="5"/>
  </r>
  <r>
    <x v="33"/>
    <d v="2022-08-30T00:00:00"/>
    <n v="5"/>
    <s v="B303"/>
    <s v="Matthew Tatum"/>
    <n v="269.51"/>
    <n v="5390.2"/>
    <n v="53.902000000000001"/>
    <x v="0"/>
    <x v="5"/>
  </r>
  <r>
    <x v="34"/>
    <d v="2022-10-12T00:00:00"/>
    <n v="4"/>
    <s v="A302"/>
    <s v="Greg Chapple"/>
    <n v="222"/>
    <n v="4440"/>
    <n v="44.400000000000006"/>
    <x v="2"/>
    <x v="6"/>
  </r>
  <r>
    <x v="35"/>
    <d v="2022-10-21T00:00:00"/>
    <n v="3"/>
    <s v="A302"/>
    <s v="Jennifer Myers"/>
    <n v="321"/>
    <n v="6420"/>
    <n v="64.2"/>
    <x v="0"/>
    <x v="6"/>
  </r>
  <r>
    <x v="36"/>
    <d v="2022-11-02T00:00:00"/>
    <n v="3"/>
    <s v="A302"/>
    <s v="George White"/>
    <n v="357"/>
    <n v="7140"/>
    <n v="71.400000000000006"/>
    <x v="0"/>
    <x v="6"/>
  </r>
  <r>
    <x v="37"/>
    <d v="2022-11-11T00:00:00"/>
    <n v="8"/>
    <s v="A302"/>
    <s v="Yadira Barrera"/>
    <n v="918"/>
    <n v="18360"/>
    <n v="183.60000000000002"/>
    <x v="0"/>
    <x v="7"/>
  </r>
  <r>
    <x v="38"/>
    <d v="2022-11-12T00:00:00"/>
    <n v="4"/>
    <s v="C301"/>
    <s v="Cossette Haddock"/>
    <n v="291.54000000000002"/>
    <n v="5830.8"/>
    <n v="58.308000000000007"/>
    <x v="2"/>
    <x v="7"/>
  </r>
  <r>
    <x v="38"/>
    <d v="2022-11-12T00:00:00"/>
    <n v="4"/>
    <s v="C301"/>
    <m/>
    <n v="291.54000000000002"/>
    <n v="5830.8"/>
    <n v="58.308000000000007"/>
    <x v="0"/>
    <x v="7"/>
  </r>
  <r>
    <x v="39"/>
    <d v="2022-11-16T00:00:00"/>
    <n v="5"/>
    <s v="A302"/>
    <s v="Johnny Hernandez"/>
    <n v="621.5"/>
    <n v="12430"/>
    <n v="124.30000000000001"/>
    <x v="0"/>
    <x v="7"/>
  </r>
  <r>
    <x v="40"/>
    <d v="2022-11-19T00:00:00"/>
    <n v="6"/>
    <s v="B303"/>
    <s v="Aniket Sharma"/>
    <n v="615"/>
    <n v="12300"/>
    <n v="123"/>
    <x v="0"/>
    <x v="7"/>
  </r>
  <r>
    <x v="41"/>
    <d v="2022-11-24T00:00:00"/>
    <n v="4"/>
    <s v="A302"/>
    <s v="Shane Finkelstein"/>
    <n v="337.65"/>
    <n v="6753"/>
    <n v="67.53"/>
    <x v="2"/>
    <x v="7"/>
  </r>
  <r>
    <x v="42"/>
    <d v="2022-11-28T00:00:00"/>
    <n v="5"/>
    <s v="A302"/>
    <s v="Pre Knechia"/>
    <n v="211"/>
    <n v="4220"/>
    <n v="42.2"/>
    <x v="2"/>
    <x v="7"/>
  </r>
  <r>
    <x v="43"/>
    <d v="2022-12-04T00:00:00"/>
    <n v="4"/>
    <s v="A302"/>
    <s v="Brian Concah"/>
    <n v="378.33"/>
    <n v="7566.5999999999995"/>
    <n v="75.665999999999997"/>
    <x v="0"/>
    <x v="7"/>
  </r>
  <r>
    <x v="44"/>
    <d v="2022-12-07T00:00:00"/>
    <n v="4"/>
    <s v="A302"/>
    <s v="Felix Bostel"/>
    <n v="258.55"/>
    <n v="5171"/>
    <n v="51.710000000000008"/>
    <x v="2"/>
    <x v="8"/>
  </r>
  <r>
    <x v="45"/>
    <d v="2022-12-08T00:00:00"/>
    <n v="4"/>
    <s v="B303"/>
    <s v="Maya Dadez"/>
    <n v="378.33"/>
    <n v="7566.5999999999995"/>
    <n v="75.665999999999997"/>
    <x v="2"/>
    <x v="8"/>
  </r>
  <r>
    <x v="46"/>
    <d v="2022-12-11T00:00:00"/>
    <n v="3"/>
    <s v="B303"/>
    <s v="Adrien Green"/>
    <n v="300.7"/>
    <n v="6014"/>
    <n v="60.14"/>
    <x v="3"/>
    <x v="8"/>
  </r>
  <r>
    <x v="47"/>
    <d v="2022-12-25T00:00:00"/>
    <n v="5"/>
    <s v="B303"/>
    <s v="Akshay Pimprikar"/>
    <n v="523.76"/>
    <n v="10475.200000000001"/>
    <n v="104.75200000000001"/>
    <x v="0"/>
    <x v="8"/>
  </r>
  <r>
    <x v="48"/>
    <d v="2022-12-25T00:00:00"/>
    <n v="4"/>
    <s v="A302"/>
    <s v="Sameer Singh"/>
    <n v="272.11"/>
    <n v="5442.2000000000007"/>
    <n v="54.422000000000004"/>
    <x v="0"/>
    <x v="8"/>
  </r>
  <r>
    <x v="49"/>
    <d v="2022-12-30T00:00:00"/>
    <n v="5"/>
    <s v="A302"/>
    <s v="Karen G"/>
    <n v="1183.68"/>
    <n v="23673.600000000002"/>
    <n v="236.73600000000002"/>
    <x v="0"/>
    <x v="8"/>
  </r>
  <r>
    <x v="49"/>
    <d v="2022-12-27T00:00:00"/>
    <n v="2"/>
    <s v="B303"/>
    <s v="Luis Lopez"/>
    <n v="472.02"/>
    <n v="9440.4"/>
    <n v="94.403999999999996"/>
    <x v="0"/>
    <x v="8"/>
  </r>
  <r>
    <x v="50"/>
    <d v="2022-12-30T00:00:00"/>
    <n v="2"/>
    <s v="C301"/>
    <s v="Kerry Bole"/>
    <n v="160"/>
    <n v="3200"/>
    <n v="32"/>
    <x v="2"/>
    <x v="8"/>
  </r>
  <r>
    <x v="50"/>
    <d v="2022-12-30T00:00:00"/>
    <n v="2"/>
    <s v="C301"/>
    <s v="Kerry Bole"/>
    <n v="110"/>
    <n v="2200"/>
    <n v="22"/>
    <x v="0"/>
    <x v="8"/>
  </r>
  <r>
    <x v="50"/>
    <d v="2022-12-30T00:00:00"/>
    <n v="2"/>
    <s v="C301"/>
    <m/>
    <n v="160"/>
    <n v="3200"/>
    <n v="32"/>
    <x v="0"/>
    <x v="8"/>
  </r>
  <r>
    <x v="50"/>
    <d v="2022-12-30T00:00:00"/>
    <n v="2"/>
    <s v="C301"/>
    <m/>
    <n v="110"/>
    <n v="2200"/>
    <n v="22"/>
    <x v="0"/>
    <x v="8"/>
  </r>
  <r>
    <x v="51"/>
    <d v="2023-01-03T00:00:00"/>
    <n v="5"/>
    <s v="B303"/>
    <s v="Jerrod Noble"/>
    <n v="2043.04"/>
    <n v="40860.800000000003"/>
    <n v="408.608"/>
    <x v="2"/>
    <x v="8"/>
  </r>
  <r>
    <x v="52"/>
    <d v="2023-01-02T00:00:00"/>
    <n v="3"/>
    <s v="A302"/>
    <s v="Dustin Spitzer"/>
    <n v="1128.99"/>
    <n v="22579.8"/>
    <n v="225.798"/>
    <x v="2"/>
    <x v="8"/>
  </r>
  <r>
    <x v="52"/>
    <d v="2023-01-31T00:00:00"/>
    <n v="32"/>
    <s v="C301"/>
    <m/>
    <n v="2500"/>
    <n v="50000"/>
    <n v="500"/>
    <x v="0"/>
    <x v="8"/>
  </r>
  <r>
    <x v="53"/>
    <d v="2023-01-02T00:00:00"/>
    <n v="2"/>
    <s v="C301"/>
    <m/>
    <n v="170"/>
    <n v="3400"/>
    <n v="34"/>
    <x v="0"/>
    <x v="8"/>
  </r>
  <r>
    <x v="54"/>
    <d v="2023-01-06T00:00:00"/>
    <n v="4"/>
    <s v="C301"/>
    <s v="Raza Kanani"/>
    <n v="694.74"/>
    <n v="13894.8"/>
    <n v="138.94800000000001"/>
    <x v="2"/>
    <x v="9"/>
  </r>
  <r>
    <x v="54"/>
    <d v="2023-01-06T00:00:00"/>
    <n v="4"/>
    <s v="C301"/>
    <m/>
    <n v="694.74"/>
    <n v="13894.8"/>
    <n v="138.94800000000001"/>
    <x v="0"/>
    <x v="9"/>
  </r>
  <r>
    <x v="55"/>
    <d v="2023-01-07T00:00:00"/>
    <n v="4"/>
    <s v="A302"/>
    <s v="Gustavo Blascovi"/>
    <n v="785.13"/>
    <n v="15702.6"/>
    <n v="157.02600000000001"/>
    <x v="3"/>
    <x v="9"/>
  </r>
  <r>
    <x v="55"/>
    <d v="2023-01-07T00:00:00"/>
    <n v="4"/>
    <s v="A302"/>
    <s v="Beatrijs Berre"/>
    <n v="529.74"/>
    <n v="10594.8"/>
    <n v="105.94800000000001"/>
    <x v="4"/>
    <x v="9"/>
  </r>
  <r>
    <x v="56"/>
    <d v="2023-01-08T00:00:00"/>
    <n v="3"/>
    <s v="B303"/>
    <s v="Yael Vazquez"/>
    <n v="622.77"/>
    <n v="12455.4"/>
    <n v="124.554"/>
    <x v="0"/>
    <x v="9"/>
  </r>
  <r>
    <x v="57"/>
    <d v="2023-01-14T00:00:00"/>
    <n v="7"/>
    <s v="C301"/>
    <s v="Riccardo Coan"/>
    <n v="1120"/>
    <n v="22400"/>
    <n v="224"/>
    <x v="4"/>
    <x v="9"/>
  </r>
  <r>
    <x v="57"/>
    <d v="2023-01-10T00:00:00"/>
    <n v="3"/>
    <s v="A302"/>
    <s v="Kevin Dyal"/>
    <n v="908.97"/>
    <n v="18179.400000000001"/>
    <n v="181.79400000000001"/>
    <x v="2"/>
    <x v="9"/>
  </r>
  <r>
    <x v="57"/>
    <d v="2023-01-14T00:00:00"/>
    <n v="7"/>
    <s v="C301"/>
    <m/>
    <n v="1120"/>
    <n v="22400"/>
    <n v="224"/>
    <x v="0"/>
    <x v="9"/>
  </r>
  <r>
    <x v="58"/>
    <d v="2023-01-12T00:00:00"/>
    <n v="4"/>
    <s v="B303"/>
    <s v="Aaron Boring"/>
    <n v="475.92"/>
    <n v="9518.4"/>
    <n v="95.184000000000012"/>
    <x v="2"/>
    <x v="9"/>
  </r>
  <r>
    <x v="59"/>
    <d v="2023-01-15T00:00:00"/>
    <n v="4"/>
    <s v="A302"/>
    <s v="Didier Milleri"/>
    <n v="326.35000000000002"/>
    <n v="6527"/>
    <n v="65.27000000000001"/>
    <x v="3"/>
    <x v="9"/>
  </r>
  <r>
    <x v="60"/>
    <d v="2023-01-18T00:00:00"/>
    <n v="6"/>
    <s v="B303"/>
    <s v="Elree Paw"/>
    <n v="716.64"/>
    <n v="14332.8"/>
    <n v="143.328"/>
    <x v="2"/>
    <x v="9"/>
  </r>
  <r>
    <x v="61"/>
    <d v="2023-02-12T00:00:00"/>
    <n v="28"/>
    <s v="A302"/>
    <s v="Emily LeVan"/>
    <n v="3835.63"/>
    <n v="76712.600000000006"/>
    <n v="767.12600000000009"/>
    <x v="3"/>
    <x v="9"/>
  </r>
  <r>
    <x v="62"/>
    <d v="2023-02-11T00:00:00"/>
    <n v="6"/>
    <s v="B303"/>
    <s v="Rob Landsam"/>
    <n v="743"/>
    <n v="14860"/>
    <n v="148.6"/>
    <x v="0"/>
    <x v="10"/>
  </r>
  <r>
    <x v="62"/>
    <d v="2023-02-11T00:00:00"/>
    <n v="6"/>
    <s v="C301"/>
    <m/>
    <n v="110"/>
    <n v="2200"/>
    <n v="22"/>
    <x v="0"/>
    <x v="10"/>
  </r>
  <r>
    <x v="63"/>
    <d v="2023-02-11T00:00:00"/>
    <n v="3"/>
    <s v="C301"/>
    <s v="Shuzao Yan"/>
    <n v="375.81"/>
    <n v="7516.2"/>
    <n v="75.162000000000006"/>
    <x v="1"/>
    <x v="10"/>
  </r>
  <r>
    <x v="63"/>
    <d v="2023-02-11T00:00:00"/>
    <n v="3"/>
    <s v="C301"/>
    <m/>
    <n v="375.81"/>
    <n v="7516.2"/>
    <n v="75.162000000000006"/>
    <x v="0"/>
    <x v="10"/>
  </r>
  <r>
    <x v="64"/>
    <d v="2023-02-17T00:00:00"/>
    <n v="7"/>
    <s v="B303"/>
    <s v="Tamika Brighton"/>
    <n v="786"/>
    <n v="15720"/>
    <n v="157.20000000000002"/>
    <x v="3"/>
    <x v="10"/>
  </r>
  <r>
    <x v="65"/>
    <d v="2023-02-14T00:00:00"/>
    <n v="3"/>
    <s v="C301"/>
    <s v="Michael Limm"/>
    <n v="407"/>
    <n v="8140"/>
    <n v="81.400000000000006"/>
    <x v="3"/>
    <x v="10"/>
  </r>
  <r>
    <x v="65"/>
    <d v="2023-02-14T00:00:00"/>
    <n v="3"/>
    <s v="C301"/>
    <m/>
    <n v="407"/>
    <n v="8140"/>
    <n v="81.400000000000006"/>
    <x v="0"/>
    <x v="10"/>
  </r>
  <r>
    <x v="65"/>
    <d v="2023-02-15T00:00:00"/>
    <n v="4"/>
    <s v="C301"/>
    <m/>
    <n v="480"/>
    <n v="9600"/>
    <n v="96"/>
    <x v="0"/>
    <x v="10"/>
  </r>
  <r>
    <x v="66"/>
    <d v="2023-02-19T00:00:00"/>
    <n v="5"/>
    <s v="A302"/>
    <s v="Ryan Shaney"/>
    <n v="714"/>
    <n v="14280"/>
    <n v="142.80000000000001"/>
    <x v="2"/>
    <x v="10"/>
  </r>
  <r>
    <x v="67"/>
    <d v="2023-02-26T00:00:00"/>
    <n v="5"/>
    <s v="C301"/>
    <s v="Kerry Bole"/>
    <n v="500"/>
    <n v="10000"/>
    <n v="100"/>
    <x v="0"/>
    <x v="10"/>
  </r>
  <r>
    <x v="67"/>
    <d v="2023-02-26T00:00:00"/>
    <n v="5"/>
    <s v="C301"/>
    <m/>
    <n v="500"/>
    <n v="10000"/>
    <n v="100"/>
    <x v="0"/>
    <x v="10"/>
  </r>
  <r>
    <x v="68"/>
    <d v="2023-02-27T00:00:00"/>
    <n v="5"/>
    <s v="A302"/>
    <s v="Elisabeth Quinn"/>
    <n v="573.47"/>
    <n v="11469.400000000001"/>
    <n v="114.69400000000002"/>
    <x v="3"/>
    <x v="10"/>
  </r>
  <r>
    <x v="69"/>
    <d v="2023-03-21T00:00:00"/>
    <n v="24"/>
    <s v="B303"/>
    <s v="Tiffane Golson"/>
    <n v="515.28"/>
    <n v="10305.599999999999"/>
    <n v="103.056"/>
    <x v="2"/>
    <x v="10"/>
  </r>
  <r>
    <x v="69"/>
    <d v="2023-03-31T00:00:00"/>
    <n v="34"/>
    <s v="A302"/>
    <s v="Tahire Edirisinghe"/>
    <n v="562.96"/>
    <n v="11259.2"/>
    <n v="112.59200000000001"/>
    <x v="0"/>
    <x v="10"/>
  </r>
  <r>
    <x v="70"/>
    <d v="2023-03-03T00:00:00"/>
    <n v="3"/>
    <s v="A302"/>
    <s v="Jeff Devoe"/>
    <n v="674.61"/>
    <n v="13492.2"/>
    <n v="134.922"/>
    <x v="0"/>
    <x v="10"/>
  </r>
  <r>
    <x v="71"/>
    <d v="2023-03-06T00:00:00"/>
    <n v="3"/>
    <s v="A302"/>
    <s v="Alexander Villlalobos"/>
    <n v="212.75"/>
    <n v="4255"/>
    <n v="42.550000000000004"/>
    <x v="0"/>
    <x v="11"/>
  </r>
  <r>
    <x v="71"/>
    <d v="2023-03-07T00:00:00"/>
    <n v="4"/>
    <s v="B303"/>
    <s v="Noah Morrison"/>
    <n v="473.25"/>
    <n v="9465"/>
    <n v="94.65"/>
    <x v="0"/>
    <x v="11"/>
  </r>
  <r>
    <x v="72"/>
    <d v="2023-03-15T00:00:00"/>
    <n v="3"/>
    <s v="C301"/>
    <s v="Jawanna Hardy"/>
    <n v="480"/>
    <n v="9600"/>
    <n v="96"/>
    <x v="2"/>
    <x v="11"/>
  </r>
  <r>
    <x v="72"/>
    <d v="2023-03-15T00:00:00"/>
    <n v="3"/>
    <s v="C301"/>
    <s v="Jawanna Hardy"/>
    <m/>
    <n v="0"/>
    <n v="0"/>
    <x v="3"/>
    <x v="11"/>
  </r>
  <r>
    <x v="72"/>
    <d v="2023-03-15T00:00:00"/>
    <n v="3"/>
    <s v="C301"/>
    <m/>
    <n v="580"/>
    <n v="11600"/>
    <n v="116"/>
    <x v="0"/>
    <x v="11"/>
  </r>
  <r>
    <x v="73"/>
    <d v="2023-03-29T00:00:00"/>
    <n v="4"/>
    <s v="A302"/>
    <s v="Ethan Glickstein"/>
    <n v="477"/>
    <n v="9540"/>
    <n v="95.4"/>
    <x v="3"/>
    <x v="11"/>
  </r>
  <r>
    <x v="74"/>
    <d v="2023-04-09T00:00:00"/>
    <n v="10"/>
    <s v="A302"/>
    <s v="Dominic Cashman"/>
    <n v="1046"/>
    <n v="20920"/>
    <n v="209.20000000000002"/>
    <x v="2"/>
    <x v="11"/>
  </r>
  <r>
    <x v="75"/>
    <d v="2023-04-06T00:00:00"/>
    <n v="5"/>
    <s v="C301"/>
    <s v="Ken Komatsuda"/>
    <n v="580"/>
    <n v="11600"/>
    <n v="116"/>
    <x v="2"/>
    <x v="12"/>
  </r>
  <r>
    <x v="75"/>
    <d v="2023-04-06T00:00:00"/>
    <n v="5"/>
    <s v="C301"/>
    <m/>
    <n v="662.18"/>
    <n v="13243.599999999999"/>
    <n v="132.43600000000001"/>
    <x v="0"/>
    <x v="12"/>
  </r>
  <r>
    <x v="76"/>
    <d v="2023-04-09T00:00:00"/>
    <n v="7"/>
    <s v="A302"/>
    <s v="Eoin K Cunneen"/>
    <n v="1036.76"/>
    <n v="20735.2"/>
    <n v="207.352"/>
    <x v="2"/>
    <x v="12"/>
  </r>
  <r>
    <x v="77"/>
    <d v="2023-04-11T00:00:00"/>
    <n v="4"/>
    <s v="C301"/>
    <s v="Kai Naly Kelly"/>
    <n v="662.18"/>
    <n v="13243.599999999999"/>
    <n v="132.43600000000001"/>
    <x v="3"/>
    <x v="12"/>
  </r>
  <r>
    <x v="77"/>
    <d v="2023-04-11T00:00:00"/>
    <n v="4"/>
    <s v="C301"/>
    <m/>
    <n v="525"/>
    <n v="10500"/>
    <n v="105"/>
    <x v="0"/>
    <x v="12"/>
  </r>
  <r>
    <x v="78"/>
    <d v="2023-04-17T00:00:00"/>
    <n v="3"/>
    <s v="C301"/>
    <s v="Intima"/>
    <n v="525"/>
    <n v="10500"/>
    <n v="105"/>
    <x v="0"/>
    <x v="12"/>
  </r>
  <r>
    <x v="78"/>
    <d v="2023-04-17T00:00:00"/>
    <n v="3"/>
    <s v="A302"/>
    <s v="Intima"/>
    <n v="525"/>
    <n v="10500"/>
    <n v="105"/>
    <x v="3"/>
    <x v="12"/>
  </r>
  <r>
    <x v="78"/>
    <d v="2023-04-17T00:00:00"/>
    <n v="3"/>
    <s v="C301"/>
    <m/>
    <n v="452.71"/>
    <n v="9054.1999999999989"/>
    <n v="90.542000000000002"/>
    <x v="0"/>
    <x v="12"/>
  </r>
  <r>
    <x v="79"/>
    <d v="2023-04-29T00:00:00"/>
    <n v="12"/>
    <s v="B303"/>
    <s v="Shelly Morasko"/>
    <n v="2618.4299999999998"/>
    <n v="52368.6"/>
    <n v="523.68600000000004"/>
    <x v="0"/>
    <x v="12"/>
  </r>
  <r>
    <x v="80"/>
    <d v="2023-05-08T00:00:00"/>
    <n v="4"/>
    <s v="C301"/>
    <m/>
    <n v="303"/>
    <n v="6060"/>
    <n v="60.6"/>
    <x v="0"/>
    <x v="13"/>
  </r>
  <r>
    <x v="81"/>
    <d v="2023-05-15T00:00:00"/>
    <n v="3"/>
    <s v="C301"/>
    <s v="Ali Elganzouri"/>
    <n v="452.71"/>
    <n v="9054.1999999999989"/>
    <n v="90.542000000000002"/>
    <x v="0"/>
    <x v="13"/>
  </r>
  <r>
    <x v="81"/>
    <d v="2023-05-15T00:00:00"/>
    <n v="3"/>
    <s v="C301"/>
    <m/>
    <n v="335"/>
    <n v="6700"/>
    <n v="67"/>
    <x v="0"/>
    <x v="13"/>
  </r>
  <r>
    <x v="82"/>
    <d v="2023-05-30T00:00:00"/>
    <n v="3"/>
    <s v="C301"/>
    <s v="Ken Komasuda"/>
    <n v="335"/>
    <n v="6700"/>
    <n v="67"/>
    <x v="3"/>
    <x v="13"/>
  </r>
  <r>
    <x v="82"/>
    <d v="2023-05-30T00:00:00"/>
    <n v="3"/>
    <s v="C301"/>
    <m/>
    <n v="680"/>
    <n v="13600"/>
    <n v="136"/>
    <x v="0"/>
    <x v="13"/>
  </r>
  <r>
    <x v="83"/>
    <d v="2023-06-04T00:00:00"/>
    <n v="1"/>
    <s v="A302"/>
    <s v="Roberto Quiroz"/>
    <n v="111"/>
    <n v="2220"/>
    <n v="22.200000000000003"/>
    <x v="2"/>
    <x v="14"/>
  </r>
  <r>
    <x v="84"/>
    <d v="2023-06-25T00:00:00"/>
    <n v="5"/>
    <s v="C301"/>
    <s v="Eric Daninger"/>
    <n v="680"/>
    <n v="13600"/>
    <n v="136"/>
    <x v="3"/>
    <x v="14"/>
  </r>
  <r>
    <x v="84"/>
    <d v="2023-06-25T00:00:00"/>
    <n v="5"/>
    <s v="C301"/>
    <m/>
    <n v="6900"/>
    <n v="138000"/>
    <n v="1380"/>
    <x v="0"/>
    <x v="14"/>
  </r>
  <r>
    <x v="85"/>
    <d v="2023-06-25T00:00:00"/>
    <n v="4"/>
    <s v="A302"/>
    <s v="Matteo Palacardo"/>
    <n v="332.64"/>
    <n v="6652.7999999999993"/>
    <n v="66.528000000000006"/>
    <x v="2"/>
    <x v="14"/>
  </r>
  <r>
    <x v="86"/>
    <d v="2023-06-25T00:00:00"/>
    <n v="3"/>
    <s v="A302"/>
    <s v="Teresa Suarez"/>
    <n v="269"/>
    <n v="5380"/>
    <n v="53.800000000000004"/>
    <x v="3"/>
    <x v="14"/>
  </r>
  <r>
    <x v="87"/>
    <d v="2023-07-25T00:00:00"/>
    <n v="7"/>
    <s v="A302"/>
    <s v="Brooke Villanyi"/>
    <n v="1027.19"/>
    <n v="20543.800000000003"/>
    <n v="205.43800000000002"/>
    <x v="0"/>
    <x v="15"/>
  </r>
  <r>
    <x v="88"/>
    <d v="2023-07-30T00:00:00"/>
    <n v="3"/>
    <s v="A302"/>
    <s v="Julio Sosa"/>
    <n v="265"/>
    <n v="5300"/>
    <n v="53"/>
    <x v="0"/>
    <x v="15"/>
  </r>
  <r>
    <x v="89"/>
    <d v="2023-09-03T00:00:00"/>
    <n v="2"/>
    <s v="B303"/>
    <s v="Ravin Elango"/>
    <n v="6700"/>
    <n v="134000"/>
    <n v="1340"/>
    <x v="0"/>
    <x v="16"/>
  </r>
  <r>
    <x v="90"/>
    <d v="2023-09-14T00:00:00"/>
    <n v="4"/>
    <s v="A302"/>
    <s v="Gary Mccoy"/>
    <n v="238"/>
    <n v="4760"/>
    <n v="47.6"/>
    <x v="0"/>
    <x v="16"/>
  </r>
  <r>
    <x v="91"/>
    <d v="2023-10-16T00:00:00"/>
    <n v="4"/>
    <s v="C301"/>
    <s v="Ken and Luz"/>
    <n v="6900"/>
    <n v="138000"/>
    <n v="1380"/>
    <x v="3"/>
    <x v="17"/>
  </r>
  <r>
    <x v="91"/>
    <d v="2023-10-16T00:00:00"/>
    <n v="4"/>
    <s v="C301"/>
    <m/>
    <n v="288"/>
    <n v="5760"/>
    <n v="57.6"/>
    <x v="0"/>
    <x v="17"/>
  </r>
  <r>
    <x v="92"/>
    <d v="2023-10-20T00:00:00"/>
    <n v="3"/>
    <s v="C301"/>
    <s v="Manuel Ortegon"/>
    <n v="303"/>
    <n v="6060"/>
    <n v="60.6"/>
    <x v="2"/>
    <x v="17"/>
  </r>
  <r>
    <x v="92"/>
    <d v="2023-10-28T00:00:00"/>
    <n v="11"/>
    <s v="A302"/>
    <s v="Tahire Edirisinghe"/>
    <n v="870"/>
    <n v="17400"/>
    <n v="174"/>
    <x v="0"/>
    <x v="17"/>
  </r>
  <r>
    <x v="93"/>
    <d v="2023-12-01T00:00:00"/>
    <n v="30"/>
    <s v="A302"/>
    <s v="Patricia Romero"/>
    <n v="863.15"/>
    <n v="17263"/>
    <n v="172.63"/>
    <x v="0"/>
    <x v="18"/>
  </r>
  <r>
    <x v="94"/>
    <d v="2023-11-07T00:00:00"/>
    <n v="3"/>
    <s v="A302"/>
    <s v="Joseph Mulligan"/>
    <n v="320.52"/>
    <n v="6410.4"/>
    <n v="64.103999999999999"/>
    <x v="2"/>
    <x v="18"/>
  </r>
  <r>
    <x v="95"/>
    <d v="2023-11-13T00:00:00"/>
    <n v="5"/>
    <s v="A302"/>
    <s v="Shanta Bailey"/>
    <n v="500.96"/>
    <n v="10019.199999999999"/>
    <n v="100.19200000000001"/>
    <x v="3"/>
    <x v="18"/>
  </r>
  <r>
    <x v="96"/>
    <d v="2023-11-20T00:00:00"/>
    <n v="3"/>
    <s v="C301"/>
    <m/>
    <n v="440.9"/>
    <n v="8818"/>
    <n v="88.18"/>
    <x v="0"/>
    <x v="18"/>
  </r>
  <r>
    <x v="97"/>
    <d v="2023-12-01T00:00:00"/>
    <n v="5"/>
    <s v="C301"/>
    <s v="Paulo Henriques"/>
    <n v="440.9"/>
    <n v="8818"/>
    <n v="88.18"/>
    <x v="0"/>
    <x v="18"/>
  </r>
  <r>
    <x v="97"/>
    <d v="2023-12-01T00:00:00"/>
    <n v="5"/>
    <s v="C301"/>
    <m/>
    <n v="2300"/>
    <n v="46000"/>
    <n v="460"/>
    <x v="0"/>
    <x v="18"/>
  </r>
  <r>
    <x v="98"/>
    <d v="2023-12-04T00:00:00"/>
    <n v="4"/>
    <s v="A302"/>
    <s v="Jurgen Platz"/>
    <n v="385.88"/>
    <n v="7717.6"/>
    <n v="77.176000000000002"/>
    <x v="3"/>
    <x v="18"/>
  </r>
  <r>
    <x v="99"/>
    <d v="2023-12-04T00:00:00"/>
    <n v="3"/>
    <s v="B303"/>
    <s v="David Flessner"/>
    <n v="384.18"/>
    <n v="7683.6"/>
    <n v="76.836000000000013"/>
    <x v="0"/>
    <x v="19"/>
  </r>
  <r>
    <x v="100"/>
    <d v="2023-12-04T00:00:00"/>
    <n v="2"/>
    <s v="A302"/>
    <s v="Teresa Suarez"/>
    <n v="3876"/>
    <n v="77520"/>
    <n v="775.2"/>
    <x v="0"/>
    <x v="19"/>
  </r>
  <r>
    <x v="101"/>
    <d v="2023-12-10T00:00:00"/>
    <n v="3"/>
    <s v="C301"/>
    <s v="Paulo Henriques"/>
    <n v="5500"/>
    <n v="110000"/>
    <n v="1100"/>
    <x v="3"/>
    <x v="19"/>
  </r>
  <r>
    <x v="101"/>
    <d v="2023-12-10T00:00:00"/>
    <n v="3"/>
    <s v="C301"/>
    <m/>
    <n v="2663.44"/>
    <n v="53268.800000000003"/>
    <n v="532.68799999999999"/>
    <x v="0"/>
    <x v="19"/>
  </r>
  <r>
    <x v="102"/>
    <d v="2023-12-10T00:00:00"/>
    <n v="1"/>
    <s v="C301"/>
    <s v="Victor Hugo"/>
    <n v="2300"/>
    <n v="46000"/>
    <n v="460"/>
    <x v="0"/>
    <x v="19"/>
  </r>
  <r>
    <x v="102"/>
    <d v="2023-12-10T00:00:00"/>
    <n v="1"/>
    <s v="C301"/>
    <m/>
    <n v="5500"/>
    <n v="110000"/>
    <n v="1100"/>
    <x v="0"/>
    <x v="19"/>
  </r>
  <r>
    <x v="103"/>
    <d v="2023-12-23T00:00:00"/>
    <n v="2"/>
    <s v="B303"/>
    <s v="Francisco Lopez"/>
    <n v="5000"/>
    <n v="100000"/>
    <n v="1000"/>
    <x v="2"/>
    <x v="19"/>
  </r>
  <r>
    <x v="104"/>
    <d v="2023-12-25T00:00:00"/>
    <n v="3"/>
    <s v="A302"/>
    <s v="David Pillado"/>
    <n v="360.57"/>
    <n v="7211.4"/>
    <n v="72.114000000000004"/>
    <x v="5"/>
    <x v="19"/>
  </r>
  <r>
    <x v="105"/>
    <d v="2023-12-29T00:00:00"/>
    <n v="3"/>
    <s v="B303"/>
    <s v="Elizabeth Corkum"/>
    <n v="507"/>
    <n v="10140"/>
    <n v="101.4"/>
    <x v="2"/>
    <x v="19"/>
  </r>
  <r>
    <x v="106"/>
    <d v="2024-01-02T00:00:00"/>
    <n v="6"/>
    <s v="A302"/>
    <s v="Alexander Pilson"/>
    <n v="2409.8200000000002"/>
    <n v="48196.4"/>
    <n v="481.96400000000006"/>
    <x v="2"/>
    <x v="19"/>
  </r>
  <r>
    <x v="107"/>
    <d v="2024-01-03T00:00:00"/>
    <n v="5"/>
    <s v="B303"/>
    <s v="Jorge Sanchez Armass"/>
    <n v="1004"/>
    <n v="20080"/>
    <n v="200.8"/>
    <x v="3"/>
    <x v="19"/>
  </r>
  <r>
    <x v="108"/>
    <d v="2024-01-31T00:00:00"/>
    <n v="32"/>
    <s v="C301"/>
    <s v="Emmeline Page"/>
    <n v="2500"/>
    <n v="50000"/>
    <n v="500"/>
    <x v="2"/>
    <x v="19"/>
  </r>
  <r>
    <x v="109"/>
    <d v="2024-01-02T00:00:00"/>
    <n v="2"/>
    <s v="C301"/>
    <s v="Raza Kanani"/>
    <n v="170"/>
    <n v="3400"/>
    <n v="34"/>
    <x v="0"/>
    <x v="19"/>
  </r>
  <r>
    <x v="109"/>
    <d v="2024-01-02T00:00:00"/>
    <n v="2"/>
    <s v="B303"/>
    <s v="Jerrod Noble"/>
    <n v="110"/>
    <n v="2200"/>
    <n v="22"/>
    <x v="0"/>
    <x v="19"/>
  </r>
  <r>
    <x v="110"/>
    <d v="2024-01-05T00:00:00"/>
    <n v="3"/>
    <s v="C301"/>
    <s v="Elizabeth Corkum"/>
    <n v="507"/>
    <n v="10140"/>
    <n v="101.4"/>
    <x v="3"/>
    <x v="20"/>
  </r>
  <r>
    <x v="110"/>
    <d v="2024-01-05T00:00:00"/>
    <n v="3"/>
    <s v="A302"/>
    <s v="Angel H."/>
    <n v="870.51"/>
    <n v="17410.2"/>
    <n v="174.102"/>
    <x v="3"/>
    <x v="20"/>
  </r>
  <r>
    <x v="110"/>
    <d v="2024-01-04T00:00:00"/>
    <n v="2"/>
    <s v="A302"/>
    <s v="Dexter Musa"/>
    <n v="311.08"/>
    <n v="6221.5999999999995"/>
    <n v="62.216000000000001"/>
    <x v="0"/>
    <x v="20"/>
  </r>
  <r>
    <x v="110"/>
    <d v="2024-01-05T00:00:00"/>
    <n v="3"/>
    <s v="C301"/>
    <m/>
    <n v="371.68"/>
    <n v="7433.6"/>
    <n v="74.335999999999999"/>
    <x v="0"/>
    <x v="20"/>
  </r>
  <r>
    <x v="111"/>
    <d v="2024-01-20T00:00:00"/>
    <n v="16"/>
    <s v="C301"/>
    <s v="Riccardo Coan"/>
    <n v="110"/>
    <n v="2200"/>
    <n v="22"/>
    <x v="0"/>
    <x v="20"/>
  </r>
  <r>
    <x v="111"/>
    <d v="2024-01-08T00:00:00"/>
    <n v="4"/>
    <s v="A302"/>
    <s v="Brian Artiaco"/>
    <n v="701.34"/>
    <n v="14026.800000000001"/>
    <n v="140.268"/>
    <x v="3"/>
    <x v="20"/>
  </r>
  <r>
    <x v="111"/>
    <d v="2024-01-10T00:00:00"/>
    <n v="6"/>
    <s v="B303"/>
    <s v="Usman Akbar"/>
    <n v="1266.54"/>
    <n v="25330.799999999999"/>
    <n v="253.30799999999999"/>
    <x v="3"/>
    <x v="20"/>
  </r>
  <r>
    <x v="112"/>
    <d v="2024-01-08T00:00:00"/>
    <n v="3"/>
    <s v="A302"/>
    <s v="Rhoda Nunoo"/>
    <n v="663.57"/>
    <n v="13271.400000000001"/>
    <n v="132.71400000000003"/>
    <x v="0"/>
    <x v="20"/>
  </r>
  <r>
    <x v="113"/>
    <d v="2024-01-08T00:00:00"/>
    <n v="2"/>
    <s v="C301"/>
    <s v="Bernardo Brazao"/>
    <n v="371.68"/>
    <n v="7433.6"/>
    <n v="74.335999999999999"/>
    <x v="0"/>
    <x v="20"/>
  </r>
  <r>
    <x v="113"/>
    <d v="2024-01-08T00:00:00"/>
    <n v="2"/>
    <s v="C301"/>
    <m/>
    <n v="861.2"/>
    <n v="17224"/>
    <n v="172.24"/>
    <x v="0"/>
    <x v="20"/>
  </r>
  <r>
    <x v="114"/>
    <d v="2024-01-14T00:00:00"/>
    <n v="6"/>
    <s v="C301"/>
    <s v="Jason Monroe"/>
    <n v="2663.44"/>
    <n v="53268.800000000003"/>
    <n v="532.68799999999999"/>
    <x v="2"/>
    <x v="20"/>
  </r>
  <r>
    <x v="114"/>
    <d v="2024-01-12T00:00:00"/>
    <n v="4"/>
    <s v="C301"/>
    <m/>
    <n v="507"/>
    <n v="10140"/>
    <n v="101.4"/>
    <x v="3"/>
    <x v="20"/>
  </r>
  <r>
    <x v="115"/>
    <d v="2024-01-13T00:00:00"/>
    <n v="3"/>
    <s v="A302"/>
    <s v="Jeanne Boivin"/>
    <n v="362.98"/>
    <n v="7259.6"/>
    <n v="72.596000000000004"/>
    <x v="0"/>
    <x v="20"/>
  </r>
  <r>
    <x v="116"/>
    <d v="2024-01-15T00:00:00"/>
    <n v="3"/>
    <s v="A302"/>
    <s v="Kevin Dyal"/>
    <n v="15840"/>
    <n v="316800"/>
    <n v="3168"/>
    <x v="0"/>
    <x v="20"/>
  </r>
  <r>
    <x v="116"/>
    <d v="2024-01-15T00:00:00"/>
    <n v="3"/>
    <s v="A302"/>
    <s v="Kevin Dyal"/>
    <n v="15840"/>
    <n v="316800"/>
    <n v="3168"/>
    <x v="2"/>
    <x v="20"/>
  </r>
  <r>
    <x v="116"/>
    <d v="2024-01-14T00:00:00"/>
    <n v="2"/>
    <s v="B303"/>
    <s v="Ravin Elango"/>
    <n v="210"/>
    <n v="4200"/>
    <n v="42"/>
    <x v="0"/>
    <x v="20"/>
  </r>
  <r>
    <x v="117"/>
    <d v="2024-01-17T00:00:00"/>
    <n v="3"/>
    <s v="B303"/>
    <s v="Ryan Shaney"/>
    <n v="404"/>
    <n v="8080"/>
    <n v="80.800000000000011"/>
    <x v="2"/>
    <x v="20"/>
  </r>
  <r>
    <x v="118"/>
    <d v="2024-02-18T00:00:00"/>
    <n v="6"/>
    <s v="A302"/>
    <s v="Stephen Norton"/>
    <n v="963.54"/>
    <n v="19270.8"/>
    <n v="192.708"/>
    <x v="2"/>
    <x v="21"/>
  </r>
  <r>
    <x v="118"/>
    <d v="2024-05-12T00:00:00"/>
    <n v="90"/>
    <s v="B303"/>
    <s v="Frankie"/>
    <n v="3450"/>
    <n v="69000"/>
    <n v="690"/>
    <x v="2"/>
    <x v="21"/>
  </r>
  <r>
    <x v="118"/>
    <d v="2024-05-12T00:00:00"/>
    <n v="90"/>
    <s v="B303"/>
    <s v="Frankie"/>
    <n v="600"/>
    <n v="12000"/>
    <n v="120"/>
    <x v="2"/>
    <x v="21"/>
  </r>
  <r>
    <x v="119"/>
    <d v="2024-02-21T00:00:00"/>
    <n v="5"/>
    <s v="C301"/>
    <s v="Michelle Braun"/>
    <n v="861.2"/>
    <n v="17224"/>
    <n v="172.24"/>
    <x v="0"/>
    <x v="21"/>
  </r>
  <r>
    <x v="119"/>
    <d v="2024-02-21T00:00:00"/>
    <n v="5"/>
    <s v="C301"/>
    <m/>
    <n v="813.05"/>
    <n v="16261"/>
    <n v="162.61000000000001"/>
    <x v="3"/>
    <x v="21"/>
  </r>
  <r>
    <x v="120"/>
    <d v="2024-02-29T00:00:00"/>
    <n v="7"/>
    <s v="A302"/>
    <s v="Aishah Mccoy"/>
    <n v="1114.03"/>
    <n v="22280.6"/>
    <n v="222.80600000000001"/>
    <x v="2"/>
    <x v="21"/>
  </r>
  <r>
    <x v="121"/>
    <d v="2024-03-04T00:00:00"/>
    <n v="5"/>
    <s v="C301"/>
    <s v="Raul Velarde"/>
    <n v="813.05"/>
    <n v="16261"/>
    <n v="162.61000000000001"/>
    <x v="6"/>
    <x v="21"/>
  </r>
  <r>
    <x v="121"/>
    <d v="2024-03-06T00:00:00"/>
    <n v="7"/>
    <s v="C301"/>
    <s v="Mike Mausser"/>
    <n v="646.4"/>
    <n v="12928"/>
    <n v="129.28"/>
    <x v="2"/>
    <x v="21"/>
  </r>
  <r>
    <x v="121"/>
    <d v="2024-03-04T00:00:00"/>
    <n v="5"/>
    <s v="C301"/>
    <m/>
    <n v="646.4"/>
    <n v="12928"/>
    <n v="129.28"/>
    <x v="3"/>
    <x v="21"/>
  </r>
  <r>
    <x v="121"/>
    <d v="2024-03-06T00:00:00"/>
    <n v="7"/>
    <s v="C301"/>
    <m/>
    <n v="1657"/>
    <n v="33140"/>
    <n v="331.40000000000003"/>
    <x v="3"/>
    <x v="21"/>
  </r>
  <r>
    <x v="122"/>
    <d v="2024-03-18T00:00:00"/>
    <n v="10"/>
    <s v="C301"/>
    <s v="Kara Von Niessen"/>
    <n v="1657"/>
    <n v="33140"/>
    <n v="331.40000000000003"/>
    <x v="2"/>
    <x v="22"/>
  </r>
  <r>
    <x v="122"/>
    <d v="2024-03-18T00:00:00"/>
    <n v="10"/>
    <s v="C301"/>
    <m/>
    <n v="950"/>
    <n v="19000"/>
    <n v="190"/>
    <x v="3"/>
    <x v="22"/>
  </r>
  <r>
    <x v="123"/>
    <d v="2024-03-18T00:00:00"/>
    <n v="3"/>
    <s v="A302"/>
    <s v="Robert Lee"/>
    <n v="420"/>
    <n v="8400"/>
    <n v="84"/>
    <x v="3"/>
    <x v="22"/>
  </r>
  <r>
    <x v="124"/>
    <d v="2024-04-18T00:00:00"/>
    <n v="31"/>
    <s v="C301"/>
    <s v="Richard Edmund Broadley"/>
    <n v="950"/>
    <n v="19000"/>
    <n v="190"/>
    <x v="2"/>
    <x v="22"/>
  </r>
  <r>
    <x v="124"/>
    <d v="2024-03-29T00:00:00"/>
    <n v="11"/>
    <s v="A302"/>
    <s v="Leona de Vinne"/>
    <n v="1887.3"/>
    <n v="37746"/>
    <n v="377.46000000000004"/>
    <x v="2"/>
    <x v="22"/>
  </r>
  <r>
    <x v="124"/>
    <d v="2024-04-18T00:00:00"/>
    <n v="31"/>
    <s v="C301"/>
    <m/>
    <n v="701.68"/>
    <n v="14033.599999999999"/>
    <n v="140.33599999999998"/>
    <x v="3"/>
    <x v="22"/>
  </r>
  <r>
    <x v="125"/>
    <d v="2024-03-31T00:00:00"/>
    <n v="4"/>
    <s v="C301"/>
    <s v="Jose Cordoba Garza"/>
    <n v="701.68"/>
    <n v="14033.599999999999"/>
    <n v="140.33599999999998"/>
    <x v="2"/>
    <x v="22"/>
  </r>
  <r>
    <x v="125"/>
    <d v="2024-03-31T00:00:00"/>
    <n v="4"/>
    <s v="C301"/>
    <m/>
    <n v="1250"/>
    <n v="25000"/>
    <n v="250"/>
    <x v="3"/>
    <x v="22"/>
  </r>
  <r>
    <x v="126"/>
    <d v="2024-03-31T00:00:00"/>
    <n v="3"/>
    <s v="A302"/>
    <s v="Benjamin Glossop"/>
    <n v="403.43"/>
    <n v="8068.6"/>
    <n v="80.686000000000007"/>
    <x v="2"/>
    <x v="22"/>
  </r>
  <r>
    <x v="127"/>
    <d v="2024-04-16T00:00:00"/>
    <n v="4"/>
    <s v="A302"/>
    <s v="Chris Schefhelbein"/>
    <n v="456"/>
    <n v="9120"/>
    <n v="91.2"/>
    <x v="3"/>
    <x v="23"/>
  </r>
  <r>
    <x v="128"/>
    <d v="2024-05-16T00:00:00"/>
    <n v="30"/>
    <s v="C301"/>
    <s v="Richard Edmund Broadley"/>
    <n v="1250"/>
    <n v="25000"/>
    <n v="250"/>
    <x v="0"/>
    <x v="23"/>
  </r>
  <r>
    <x v="128"/>
    <d v="2024-05-16T00:00:00"/>
    <n v="30"/>
    <s v="C301"/>
    <m/>
    <n v="448.2"/>
    <n v="8964"/>
    <n v="89.64"/>
    <x v="3"/>
    <x v="23"/>
  </r>
  <r>
    <x v="129"/>
    <d v="2024-04-25T00:00:00"/>
    <n v="3"/>
    <s v="C301"/>
    <s v="Suzie Smith"/>
    <n v="448.2"/>
    <n v="8964"/>
    <n v="89.64"/>
    <x v="3"/>
    <x v="23"/>
  </r>
  <r>
    <x v="129"/>
    <d v="2024-04-25T00:00:00"/>
    <n v="3"/>
    <s v="C301"/>
    <m/>
    <n v="807.8"/>
    <n v="16156"/>
    <n v="161.56"/>
    <x v="1"/>
    <x v="23"/>
  </r>
  <r>
    <x v="130"/>
    <d v="2024-05-04T00:00:00"/>
    <n v="7"/>
    <s v="A302"/>
    <s v="Olga"/>
    <n v="810"/>
    <n v="16200"/>
    <n v="162"/>
    <x v="2"/>
    <x v="23"/>
  </r>
  <r>
    <x v="131"/>
    <d v="2024-05-11T00:00:00"/>
    <n v="5"/>
    <s v="C301"/>
    <s v="Alyson Terrie"/>
    <n v="807.8"/>
    <n v="16156"/>
    <n v="161.56"/>
    <x v="7"/>
    <x v="24"/>
  </r>
  <r>
    <x v="131"/>
    <d v="2024-05-11T00:00:00"/>
    <n v="5"/>
    <s v="C301"/>
    <m/>
    <n v="882"/>
    <n v="17640"/>
    <n v="176.4"/>
    <x v="1"/>
    <x v="24"/>
  </r>
  <r>
    <x v="132"/>
    <d v="2024-05-15T00:00:00"/>
    <n v="3"/>
    <s v="C301"/>
    <s v="Jose Reyes"/>
    <n v="257.64"/>
    <n v="5152.7999999999993"/>
    <n v="51.527999999999999"/>
    <x v="2"/>
    <x v="24"/>
  </r>
  <r>
    <x v="132"/>
    <d v="2024-05-15T00:00:00"/>
    <n v="3"/>
    <s v="C301"/>
    <m/>
    <n v="257.64"/>
    <n v="5152.7999999999993"/>
    <n v="51.527999999999999"/>
    <x v="1"/>
    <x v="24"/>
  </r>
  <r>
    <x v="133"/>
    <d v="2024-06-07T00:00:00"/>
    <n v="21"/>
    <s v="C301"/>
    <s v="Richard Edmund Broadley"/>
    <n v="882"/>
    <n v="17640"/>
    <n v="176.4"/>
    <x v="2"/>
    <x v="24"/>
  </r>
  <r>
    <x v="133"/>
    <d v="2024-06-07T00:00:00"/>
    <n v="21"/>
    <s v="C301"/>
    <m/>
    <n v="689.83"/>
    <n v="13796.6"/>
    <n v="137.96600000000001"/>
    <x v="1"/>
    <x v="24"/>
  </r>
  <r>
    <x v="134"/>
    <d v="2024-05-26T00:00:00"/>
    <n v="3"/>
    <s v="B303"/>
    <s v="Andrew Hinkle"/>
    <n v="510.84"/>
    <n v="10216.799999999999"/>
    <n v="102.16800000000001"/>
    <x v="1"/>
    <x v="24"/>
  </r>
  <r>
    <x v="135"/>
    <d v="2024-05-26T00:00:00"/>
    <n v="2"/>
    <s v="A302"/>
    <s v="Manuel Ortegon"/>
    <n v="238"/>
    <n v="4760"/>
    <n v="47.6"/>
    <x v="2"/>
    <x v="24"/>
  </r>
  <r>
    <x v="136"/>
    <d v="2024-06-16T00:00:00"/>
    <n v="7"/>
    <s v="C301"/>
    <s v="Jay Decker"/>
    <n v="689.83"/>
    <n v="13796.6"/>
    <n v="137.96600000000001"/>
    <x v="0"/>
    <x v="25"/>
  </r>
  <r>
    <x v="137"/>
    <d v="2024-06-17T00:00:00"/>
    <n v="4"/>
    <s v="A302"/>
    <s v="Domonique Peterson"/>
    <n v="420.16"/>
    <n v="8403.2000000000007"/>
    <n v="84.032000000000011"/>
    <x v="2"/>
    <x v="25"/>
  </r>
  <r>
    <x v="138"/>
    <d v="2024-06-25T00:00:00"/>
    <n v="3"/>
    <s v="C301"/>
    <s v="Cameron Lee"/>
    <n v="430"/>
    <n v="8600"/>
    <n v="86"/>
    <x v="0"/>
    <x v="25"/>
  </r>
  <r>
    <x v="138"/>
    <d v="2024-06-25T00:00:00"/>
    <n v="3"/>
    <s v="A302"/>
    <s v="Scott Amos"/>
    <n v="330.27"/>
    <n v="6605.4"/>
    <n v="66.054000000000002"/>
    <x v="2"/>
    <x v="25"/>
  </r>
  <r>
    <x v="138"/>
    <d v="2024-06-25T00:00:00"/>
    <n v="3"/>
    <s v="C301"/>
    <m/>
    <n v="430"/>
    <n v="8600"/>
    <n v="86"/>
    <x v="1"/>
    <x v="25"/>
  </r>
  <r>
    <x v="139"/>
    <d v="2024-07-13T00:00:00"/>
    <n v="4"/>
    <s v="A302"/>
    <s v="Ashley Robinson"/>
    <n v="420.16"/>
    <n v="8403.2000000000007"/>
    <n v="84.032000000000011"/>
    <x v="0"/>
    <x v="26"/>
  </r>
  <r>
    <x v="140"/>
    <d v="2024-07-23T00:00:00"/>
    <n v="5"/>
    <s v="C301"/>
    <s v="Kalan Brown"/>
    <n v="730.05"/>
    <n v="14601"/>
    <n v="146.01"/>
    <x v="0"/>
    <x v="26"/>
  </r>
  <r>
    <x v="140"/>
    <d v="2024-07-21T00:00:00"/>
    <n v="3"/>
    <s v="B303"/>
    <s v="Jennifer Pate"/>
    <n v="330.27"/>
    <n v="6605.4"/>
    <n v="66.054000000000002"/>
    <x v="0"/>
    <x v="26"/>
  </r>
  <r>
    <x v="140"/>
    <d v="2024-07-23T00:00:00"/>
    <n v="5"/>
    <s v="C301"/>
    <m/>
    <n v="730.05"/>
    <n v="14601"/>
    <n v="146.01"/>
    <x v="1"/>
    <x v="26"/>
  </r>
  <r>
    <x v="141"/>
    <d v="2024-07-23T00:00:00"/>
    <n v="4"/>
    <s v="A302"/>
    <s v="Christina Hinkebein"/>
    <n v="420.16"/>
    <n v="8403.2000000000007"/>
    <n v="84.032000000000011"/>
    <x v="2"/>
    <x v="26"/>
  </r>
  <r>
    <x v="142"/>
    <d v="2024-08-05T00:00:00"/>
    <n v="4"/>
    <s v="C301"/>
    <s v="Darnell Latney"/>
    <n v="303.16000000000003"/>
    <n v="6063.2000000000007"/>
    <n v="60.632000000000005"/>
    <x v="0"/>
    <x v="27"/>
  </r>
  <r>
    <x v="142"/>
    <d v="2024-08-04T00:00:00"/>
    <n v="3"/>
    <s v="B303"/>
    <s v="Edgar Reyes"/>
    <n v="352.77"/>
    <n v="7055.4"/>
    <n v="70.554000000000002"/>
    <x v="1"/>
    <x v="27"/>
  </r>
  <r>
    <x v="142"/>
    <d v="2024-08-05T00:00:00"/>
    <n v="4"/>
    <s v="C301"/>
    <m/>
    <n v="303.16000000000003"/>
    <n v="6063.2000000000007"/>
    <n v="60.632000000000005"/>
    <x v="7"/>
    <x v="27"/>
  </r>
  <r>
    <x v="143"/>
    <d v="2024-08-08T00:00:00"/>
    <n v="4"/>
    <s v="C301"/>
    <s v="Victor Fishington"/>
    <n v="420.16"/>
    <n v="8403.2000000000007"/>
    <n v="84.032000000000011"/>
    <x v="3"/>
    <x v="27"/>
  </r>
  <r>
    <x v="143"/>
    <d v="2024-08-11T00:00:00"/>
    <n v="7"/>
    <s v="B303"/>
    <s v="Danny O neal"/>
    <n v="738.33"/>
    <n v="14766.6"/>
    <n v="147.66600000000003"/>
    <x v="2"/>
    <x v="27"/>
  </r>
  <r>
    <x v="143"/>
    <d v="2024-08-08T00:00:00"/>
    <n v="4"/>
    <s v="C301"/>
    <m/>
    <n v="420.16"/>
    <n v="8403.2000000000007"/>
    <n v="84.032000000000011"/>
    <x v="7"/>
    <x v="27"/>
  </r>
  <r>
    <x v="144"/>
    <d v="2024-08-19T00:00:00"/>
    <n v="4"/>
    <s v="C301"/>
    <s v="Jules Desmond Fuller"/>
    <n v="330.84"/>
    <n v="6616.7999999999993"/>
    <n v="66.167999999999992"/>
    <x v="2"/>
    <x v="27"/>
  </r>
  <r>
    <x v="144"/>
    <d v="2024-08-19T00:00:00"/>
    <n v="4"/>
    <s v="C301"/>
    <m/>
    <n v="330.84"/>
    <n v="6616.7999999999993"/>
    <n v="66.167999999999992"/>
    <x v="0"/>
    <x v="27"/>
  </r>
  <r>
    <x v="145"/>
    <d v="2024-09-02T00:00:00"/>
    <n v="2"/>
    <s v="B303"/>
    <s v="Sam Johnson"/>
    <n v="352.77"/>
    <n v="7055.4"/>
    <n v="70.554000000000002"/>
    <x v="2"/>
    <x v="27"/>
  </r>
  <r>
    <x v="145"/>
    <d v="2024-09-02T00:00:00"/>
    <n v="2"/>
    <s v="A302"/>
    <s v="Norman Brooks"/>
    <n v="352.77"/>
    <n v="7055.4"/>
    <n v="70.554000000000002"/>
    <x v="0"/>
    <x v="27"/>
  </r>
  <r>
    <x v="145"/>
    <d v="2024-09-02T00:00:00"/>
    <n v="2"/>
    <s v="A302"/>
    <s v="Cohen Cosby"/>
    <n v="247.66"/>
    <n v="4953.2"/>
    <n v="49.532000000000004"/>
    <x v="0"/>
    <x v="27"/>
  </r>
  <r>
    <x v="146"/>
    <d v="2024-09-16T00:00:00"/>
    <n v="4"/>
    <s v="A302"/>
    <s v="Brigitte Naud"/>
    <n v="533"/>
    <n v="10660"/>
    <n v="106.60000000000001"/>
    <x v="3"/>
    <x v="28"/>
  </r>
  <r>
    <x v="147"/>
    <d v="2024-10-08T00:00:00"/>
    <n v="4"/>
    <s v="A302"/>
    <s v="Ken Komatsusa"/>
    <n v="500"/>
    <n v="10000"/>
    <n v="100"/>
    <x v="0"/>
    <x v="29"/>
  </r>
  <r>
    <x v="148"/>
    <d v="2024-10-12T00:00:00"/>
    <n v="5"/>
    <s v="C301"/>
    <s v="Gina Rizzuti"/>
    <n v="310"/>
    <n v="6200"/>
    <n v="62"/>
    <x v="0"/>
    <x v="29"/>
  </r>
  <r>
    <x v="148"/>
    <d v="2024-10-12T00:00:00"/>
    <n v="5"/>
    <s v="C301"/>
    <m/>
    <n v="310"/>
    <n v="6200"/>
    <n v="62"/>
    <x v="0"/>
    <x v="29"/>
  </r>
  <r>
    <x v="149"/>
    <d v="2024-10-26T00:00:00"/>
    <n v="2"/>
    <s v="A302"/>
    <s v="Warren Blackburn"/>
    <n v="352.83"/>
    <n v="7056.5999999999995"/>
    <n v="70.566000000000003"/>
    <x v="3"/>
    <x v="29"/>
  </r>
  <r>
    <x v="150"/>
    <d v="2024-11-08T00:00:00"/>
    <n v="3"/>
    <s v="B303"/>
    <s v="Tara Gibbons"/>
    <n v="451.47"/>
    <n v="9029.4000000000015"/>
    <n v="90.294000000000011"/>
    <x v="2"/>
    <x v="30"/>
  </r>
  <r>
    <x v="151"/>
    <d v="2024-11-18T00:00:00"/>
    <n v="3"/>
    <s v="A302"/>
    <s v="Fernando Sauri"/>
    <n v="571"/>
    <n v="11420"/>
    <n v="114.2"/>
    <x v="0"/>
    <x v="30"/>
  </r>
  <r>
    <x v="152"/>
    <d v="2024-12-03T00:00:00"/>
    <n v="3"/>
    <s v="A302"/>
    <s v="Genesta Riches"/>
    <n v="510"/>
    <n v="10200"/>
    <n v="102"/>
    <x v="2"/>
    <x v="30"/>
  </r>
  <r>
    <x v="153"/>
    <d v="2024-12-22T00:00:00"/>
    <n v="19"/>
    <s v="B303"/>
    <s v="Fred Deffer"/>
    <n v="2981.43"/>
    <n v="59628.6"/>
    <n v="596.28599999999994"/>
    <x v="2"/>
    <x v="31"/>
  </r>
  <r>
    <x v="154"/>
    <d v="2024-12-27T00:00:00"/>
    <n v="3"/>
    <s v="A302"/>
    <s v="Julie Oberbillig"/>
    <n v="367.73"/>
    <n v="7354.6"/>
    <n v="73.546000000000006"/>
    <x v="3"/>
    <x v="31"/>
  </r>
  <r>
    <x v="154"/>
    <d v="2024-12-27T00:00:00"/>
    <n v="3"/>
    <s v="A302"/>
    <s v="Kevin Conor"/>
    <n v="562.57000000000005"/>
    <n v="11251.400000000001"/>
    <n v="112.51400000000001"/>
    <x v="0"/>
    <x v="31"/>
  </r>
  <r>
    <x v="155"/>
    <d v="2024-12-30T00:00:00"/>
    <n v="4"/>
    <s v="A302"/>
    <s v="Samantha Fowler"/>
    <n v="1203.4000000000001"/>
    <n v="24068"/>
    <n v="240.68000000000004"/>
    <x v="0"/>
    <x v="31"/>
  </r>
  <r>
    <x v="156"/>
    <d v="2025-01-01T00:00:00"/>
    <n v="4"/>
    <s v="A302"/>
    <s v="Ken Komatsusa"/>
    <n v="720"/>
    <n v="14400"/>
    <n v="144"/>
    <x v="2"/>
    <x v="31"/>
  </r>
  <r>
    <x v="157"/>
    <d v="2025-01-05T00:00:00"/>
    <n v="5"/>
    <s v="B303"/>
    <s v="Jose Miguel Martinez Padilla"/>
    <n v="1104"/>
    <n v="22080"/>
    <n v="220.8"/>
    <x v="2"/>
    <x v="31"/>
  </r>
  <r>
    <x v="157"/>
    <d v="2025-01-04T00:00:00"/>
    <n v="4"/>
    <s v="A302"/>
    <s v="Michael Macarthur"/>
    <n v="856.48"/>
    <n v="17129.599999999999"/>
    <n v="171.29600000000002"/>
    <x v="7"/>
    <x v="31"/>
  </r>
  <r>
    <x v="158"/>
    <d v="2025-01-05T00:00:00"/>
    <n v="3"/>
    <s v="A302"/>
    <s v="Alejandro Sandoval"/>
    <n v="582.54999999999995"/>
    <n v="11651"/>
    <n v="116.50999999999999"/>
    <x v="7"/>
    <x v="32"/>
  </r>
  <r>
    <x v="159"/>
    <d v="2025-01-06T00:00:00"/>
    <n v="3"/>
    <s v="C301"/>
    <s v="Sven Wehner"/>
    <n v="657.51"/>
    <n v="13150.2"/>
    <n v="131.50200000000001"/>
    <x v="2"/>
    <x v="32"/>
  </r>
  <r>
    <x v="159"/>
    <d v="2025-01-06T00:00:00"/>
    <n v="3"/>
    <s v="C301"/>
    <m/>
    <n v="657.51"/>
    <n v="13150.2"/>
    <n v="131.50200000000001"/>
    <x v="0"/>
    <x v="32"/>
  </r>
  <r>
    <x v="160"/>
    <d v="2025-01-07T00:00:00"/>
    <n v="3"/>
    <s v="A302"/>
    <s v="Karla Lugo"/>
    <n v="828"/>
    <n v="16560"/>
    <n v="165.60000000000002"/>
    <x v="2"/>
    <x v="32"/>
  </r>
  <r>
    <x v="161"/>
    <d v="2025-01-08T00:00:00"/>
    <n v="3"/>
    <s v="C301"/>
    <s v="Roxanne Bauer"/>
    <n v="460"/>
    <n v="9200"/>
    <n v="92"/>
    <x v="0"/>
    <x v="32"/>
  </r>
  <r>
    <x v="161"/>
    <d v="2025-01-09T00:00:00"/>
    <n v="4"/>
    <s v="A302"/>
    <s v="Salvador Suaza"/>
    <n v="450.46"/>
    <n v="9009.1999999999989"/>
    <n v="90.091999999999999"/>
    <x v="7"/>
    <x v="32"/>
  </r>
  <r>
    <x v="161"/>
    <d v="2025-01-08T00:00:00"/>
    <n v="3"/>
    <s v="C301"/>
    <m/>
    <n v="460"/>
    <n v="9200"/>
    <n v="92"/>
    <x v="0"/>
    <x v="32"/>
  </r>
  <r>
    <x v="162"/>
    <d v="2025-01-13T00:00:00"/>
    <n v="6"/>
    <s v="C301"/>
    <s v="Adam Kittel"/>
    <n v="1093"/>
    <n v="21860"/>
    <n v="218.60000000000002"/>
    <x v="2"/>
    <x v="32"/>
  </r>
  <r>
    <x v="162"/>
    <d v="2025-01-12T00:00:00"/>
    <n v="5"/>
    <s v="B303"/>
    <s v="Bryce Villadsen"/>
    <n v="690.6"/>
    <n v="13812"/>
    <n v="138.12"/>
    <x v="0"/>
    <x v="32"/>
  </r>
  <r>
    <x v="162"/>
    <d v="2025-01-13T00:00:00"/>
    <n v="6"/>
    <s v="C301"/>
    <m/>
    <n v="1093"/>
    <n v="21860"/>
    <n v="218.60000000000002"/>
    <x v="0"/>
    <x v="32"/>
  </r>
  <r>
    <x v="163"/>
    <d v="2025-01-14T00:00:00"/>
    <n v="5"/>
    <s v="A302"/>
    <s v="Leonardo Mandarino"/>
    <n v="550.45000000000005"/>
    <n v="11009"/>
    <n v="110.09000000000002"/>
    <x v="0"/>
    <x v="32"/>
  </r>
  <r>
    <x v="163"/>
    <d v="2025-01-13T00:00:00"/>
    <n v="4"/>
    <s v="A302"/>
    <s v="Latavion Reed"/>
    <n v="614.08000000000004"/>
    <n v="12281.6"/>
    <n v="122.81600000000002"/>
    <x v="3"/>
    <x v="32"/>
  </r>
  <r>
    <x v="164"/>
    <d v="2025-01-25T00:00:00"/>
    <n v="3"/>
    <s v="A302"/>
    <s v="Martin Geissbuhler"/>
    <n v="642"/>
    <n v="12840"/>
    <n v="128.4"/>
    <x v="0"/>
    <x v="32"/>
  </r>
  <r>
    <x v="165"/>
    <d v="2025-02-03T00:00:00"/>
    <n v="4"/>
    <s v="C301"/>
    <s v="Robert Hubbard"/>
    <n v="460"/>
    <n v="9200"/>
    <n v="92"/>
    <x v="0"/>
    <x v="32"/>
  </r>
  <r>
    <x v="165"/>
    <d v="2025-02-03T00:00:00"/>
    <n v="4"/>
    <s v="C301"/>
    <m/>
    <n v="460"/>
    <n v="9200"/>
    <n v="92"/>
    <x v="0"/>
    <x v="32"/>
  </r>
  <r>
    <x v="166"/>
    <d v="2025-02-21T00:00:00"/>
    <n v="4"/>
    <s v="B303"/>
    <s v="Matias Benitez"/>
    <n v="489.6"/>
    <n v="9792"/>
    <n v="97.920000000000016"/>
    <x v="0"/>
    <x v="33"/>
  </r>
  <r>
    <x v="167"/>
    <d v="2025-03-03T00:00:00"/>
    <n v="5"/>
    <s v="A302"/>
    <s v="Crystal King"/>
    <n v="560.54999999999995"/>
    <n v="11211"/>
    <n v="112.11"/>
    <x v="2"/>
    <x v="33"/>
  </r>
  <r>
    <x v="168"/>
    <d v="2025-03-04T00:00:00"/>
    <n v="5"/>
    <s v="C301"/>
    <s v="Kelly Brazil"/>
    <n v="596.15"/>
    <n v="11923"/>
    <n v="119.23"/>
    <x v="2"/>
    <x v="33"/>
  </r>
  <r>
    <x v="168"/>
    <d v="2025-03-04T00:00:00"/>
    <n v="5"/>
    <s v="C301"/>
    <m/>
    <n v="596.15"/>
    <n v="11923"/>
    <n v="119.23"/>
    <x v="0"/>
    <x v="33"/>
  </r>
  <r>
    <x v="169"/>
    <d v="2025-03-20T00:00:00"/>
    <n v="20"/>
    <s v="B303"/>
    <s v="Mark Chadwick"/>
    <n v="959.49"/>
    <n v="19189.8"/>
    <n v="191.89800000000002"/>
    <x v="0"/>
    <x v="33"/>
  </r>
  <r>
    <x v="170"/>
    <d v="2025-03-09T00:00:00"/>
    <n v="8"/>
    <s v="A302"/>
    <s v="Mike Mausser"/>
    <n v="410"/>
    <n v="8200"/>
    <n v="82"/>
    <x v="0"/>
    <x v="34"/>
  </r>
  <r>
    <x v="171"/>
    <d v="2025-03-15T00:00:00"/>
    <n v="5"/>
    <s v="A302"/>
    <s v="Jared Ennis"/>
    <n v="510.05"/>
    <n v="10201"/>
    <n v="102.01"/>
    <x v="2"/>
    <x v="34"/>
  </r>
  <r>
    <x v="172"/>
    <d v="2025-03-15T00:00:00"/>
    <n v="2"/>
    <s v="B303"/>
    <s v="Ken Komatsuda"/>
    <n v="260"/>
    <n v="5200"/>
    <n v="52"/>
    <x v="0"/>
    <x v="34"/>
  </r>
  <r>
    <x v="173"/>
    <d v="2025-03-21T00:00:00"/>
    <n v="4"/>
    <s v="B303"/>
    <s v="Trenisa King Gonzales"/>
    <n v="426.82"/>
    <n v="8536.4"/>
    <n v="85.364000000000004"/>
    <x v="0"/>
    <x v="34"/>
  </r>
  <r>
    <x v="174"/>
    <d v="2025-03-23T00:00:00"/>
    <n v="3"/>
    <s v="A302"/>
    <s v="Robert Mendenhal"/>
    <n v="512.07000000000005"/>
    <n v="10241.400000000001"/>
    <n v="102.41400000000002"/>
    <x v="0"/>
    <x v="34"/>
  </r>
  <r>
    <x v="175"/>
    <d v="2025-03-30T00:00:00"/>
    <n v="2"/>
    <s v="A302"/>
    <s v="Luis Duran"/>
    <n v="279.14"/>
    <n v="5582.7999999999993"/>
    <n v="55.828000000000003"/>
    <x v="0"/>
    <x v="34"/>
  </r>
  <r>
    <x v="176"/>
    <d v="2025-04-05T00:00:00"/>
    <n v="3"/>
    <s v="C301"/>
    <s v="Letitia Raiciulescu"/>
    <n v="460"/>
    <n v="9200"/>
    <n v="92"/>
    <x v="0"/>
    <x v="35"/>
  </r>
  <r>
    <x v="176"/>
    <d v="2025-04-05T00:00:00"/>
    <n v="3"/>
    <s v="C301"/>
    <m/>
    <n v="460"/>
    <n v="9200"/>
    <n v="92"/>
    <x v="0"/>
    <x v="35"/>
  </r>
  <r>
    <x v="177"/>
    <d v="2025-04-06T00:00:00"/>
    <n v="3"/>
    <s v="A302"/>
    <s v="Juan Luis Alonzo Morales"/>
    <n v="267.52"/>
    <n v="5350.4"/>
    <n v="53.503999999999998"/>
    <x v="1"/>
    <x v="35"/>
  </r>
  <r>
    <x v="178"/>
    <d v="2025-04-10T00:00:00"/>
    <n v="5"/>
    <s v="B303"/>
    <s v="Robert Alexander"/>
    <n v="679"/>
    <n v="13580"/>
    <n v="135.80000000000001"/>
    <x v="0"/>
    <x v="35"/>
  </r>
  <r>
    <x v="179"/>
    <d v="2025-04-11T00:00:00"/>
    <n v="3"/>
    <s v="A302"/>
    <s v="Cassey Anderson"/>
    <n v="330.27"/>
    <n v="6605.4"/>
    <n v="66.054000000000002"/>
    <x v="0"/>
    <x v="35"/>
  </r>
  <r>
    <x v="180"/>
    <d v="2025-04-14T00:00:00"/>
    <n v="3"/>
    <s v="C301"/>
    <s v="Cassey Anderson"/>
    <n v="320.17"/>
    <n v="6403.4000000000005"/>
    <n v="64.034000000000006"/>
    <x v="1"/>
    <x v="35"/>
  </r>
  <r>
    <x v="180"/>
    <d v="2025-04-18T00:00:00"/>
    <n v="7"/>
    <s v="A302"/>
    <s v="Samantha Fowler"/>
    <n v="760"/>
    <n v="15200"/>
    <n v="152"/>
    <x v="0"/>
    <x v="35"/>
  </r>
  <r>
    <x v="180"/>
    <d v="2025-04-14T00:00:00"/>
    <n v="3"/>
    <s v="C301"/>
    <m/>
    <n v="320.17"/>
    <n v="6403.4000000000005"/>
    <n v="64.034000000000006"/>
    <x v="0"/>
    <x v="35"/>
  </r>
  <r>
    <x v="181"/>
    <d v="2025-05-28T00:00:00"/>
    <n v="6"/>
    <s v="B303"/>
    <s v="Jason Meran"/>
    <n v="624"/>
    <n v="12480"/>
    <n v="124.80000000000001"/>
    <x v="0"/>
    <x v="36"/>
  </r>
  <r>
    <x v="182"/>
    <d v="2025-05-30T00:00:00"/>
    <n v="3"/>
    <s v="C301"/>
    <s v="Wendy Read"/>
    <n v="330.27"/>
    <n v="6605.4"/>
    <n v="66.054000000000002"/>
    <x v="3"/>
    <x v="36"/>
  </r>
  <r>
    <x v="182"/>
    <d v="2025-05-30T00:00:00"/>
    <n v="3"/>
    <s v="C301"/>
    <m/>
    <n v="330.27"/>
    <n v="6605.4"/>
    <n v="66.054000000000002"/>
    <x v="0"/>
    <x v="36"/>
  </r>
  <r>
    <x v="183"/>
    <d v="2025-06-30T00:00:00"/>
    <n v="2"/>
    <s v="B303"/>
    <s v="Tomasz Gajewski"/>
    <n v="248.02"/>
    <n v="4960.4000000000005"/>
    <n v="49.604000000000006"/>
    <x v="0"/>
    <x v="37"/>
  </r>
  <r>
    <x v="184"/>
    <d v="2025-07-28T00:00:00"/>
    <n v="11"/>
    <s v="A302"/>
    <s v="Owen Demarce"/>
    <n v="1189"/>
    <n v="23780"/>
    <n v="237.8"/>
    <x v="0"/>
    <x v="38"/>
  </r>
  <r>
    <x v="185"/>
    <d v="2025-07-27T00:00:00"/>
    <n v="2"/>
    <s v="B303"/>
    <s v="Gerald Bornhofen"/>
    <n v="214.46"/>
    <n v="4289.2"/>
    <n v="42.892000000000003"/>
    <x v="0"/>
    <x v="38"/>
  </r>
  <r>
    <x v="186"/>
    <d v="2025-08-30T00:00:00"/>
    <n v="2"/>
    <s v="A302"/>
    <s v="Aydan Bowman"/>
    <n v="190.42"/>
    <n v="3808.3999999999996"/>
    <n v="38.083999999999996"/>
    <x v="2"/>
    <x v="39"/>
  </r>
  <r>
    <x v="187"/>
    <d v="2025-10-27T00:00:00"/>
    <n v="3"/>
    <s v="A302"/>
    <s v="Charles Owusu"/>
    <n v="270"/>
    <n v="5400"/>
    <n v="54"/>
    <x v="3"/>
    <x v="40"/>
  </r>
  <r>
    <x v="188"/>
    <d v="2025-11-20T00:00:00"/>
    <n v="6"/>
    <s v="A302"/>
    <s v="Cassey Anderson"/>
    <n v="700"/>
    <n v="14000"/>
    <n v="140"/>
    <x v="3"/>
    <x v="41"/>
  </r>
  <r>
    <x v="189"/>
    <d v="2025-12-07T00:00:00"/>
    <n v="15"/>
    <s v="A302"/>
    <s v="Genesta Riches"/>
    <n v="1700"/>
    <n v="34000"/>
    <n v="340"/>
    <x v="3"/>
    <x v="41"/>
  </r>
  <r>
    <x v="190"/>
    <d v="2026-01-04T00:00:00"/>
    <n v="11"/>
    <s v="B303"/>
    <s v="James Wineberg"/>
    <n v="2350"/>
    <n v="47000"/>
    <n v="470"/>
    <x v="2"/>
    <x v="42"/>
  </r>
  <r>
    <x v="191"/>
    <d v="2025-12-31T00:00:00"/>
    <n v="3"/>
    <s v="A302"/>
    <s v="Mikiya Suzuki"/>
    <n v="455"/>
    <n v="9100"/>
    <n v="91"/>
    <x v="2"/>
    <x v="42"/>
  </r>
  <r>
    <x v="192"/>
    <d v="2026-01-04T00:00:00"/>
    <n v="3"/>
    <s v="A302"/>
    <s v="Vernon Everett"/>
    <n v="581.44000000000005"/>
    <n v="11628.800000000001"/>
    <n v="116.28800000000001"/>
    <x v="0"/>
    <x v="43"/>
  </r>
  <r>
    <x v="192"/>
    <d v="2026-01-04T00:00:00"/>
    <n v="3"/>
    <s v="A302"/>
    <s v="Sebastien Rodts"/>
    <n v="307"/>
    <n v="6140"/>
    <n v="61.400000000000006"/>
    <x v="0"/>
    <x v="43"/>
  </r>
  <r>
    <x v="193"/>
    <d v="2026-01-06T00:00:00"/>
    <n v="2"/>
    <s v="A302"/>
    <s v="Roberto Gonzalez"/>
    <n v="220"/>
    <n v="4400"/>
    <n v="44"/>
    <x v="0"/>
    <x v="43"/>
  </r>
  <r>
    <x v="193"/>
    <d v="2026-01-10T00:00:00"/>
    <n v="6"/>
    <s v="B303"/>
    <s v="Radee Miranda Villa"/>
    <n v="631.89"/>
    <n v="12637.8"/>
    <n v="126.378"/>
    <x v="0"/>
    <x v="43"/>
  </r>
  <r>
    <x v="194"/>
    <d v="2026-01-11T00:00:00"/>
    <n v="5"/>
    <s v="A302"/>
    <s v="Ashley Donnelly"/>
    <n v="302"/>
    <n v="6040"/>
    <n v="60.400000000000006"/>
    <x v="0"/>
    <x v="43"/>
  </r>
  <r>
    <x v="194"/>
    <d v="2026-01-11T00:00:00"/>
    <n v="5"/>
    <s v="A302"/>
    <s v="Mayra Salazar"/>
    <n v="403.56"/>
    <n v="8071.2"/>
    <n v="80.712000000000003"/>
    <x v="0"/>
    <x v="43"/>
  </r>
  <r>
    <x v="195"/>
    <d v="2026-01-12T00:00:00"/>
    <n v="4"/>
    <s v="B303"/>
    <s v="Lee Negri"/>
    <n v="1205"/>
    <n v="24100"/>
    <n v="241"/>
    <x v="2"/>
    <x v="43"/>
  </r>
  <r>
    <x v="196"/>
    <d v="2026-02-01T00:00:00"/>
    <n v="9"/>
    <s v="B303"/>
    <s v="John Snow"/>
    <n v="1300"/>
    <n v="26000"/>
    <n v="260"/>
    <x v="2"/>
    <x v="43"/>
  </r>
  <r>
    <x v="196"/>
    <d v="2026-01-25T00:00:00"/>
    <n v="2"/>
    <s v="A302"/>
    <s v="Andrea Murray"/>
    <n v="175.23"/>
    <n v="3504.6"/>
    <n v="35.045999999999999"/>
    <x v="0"/>
    <x v="43"/>
  </r>
  <r>
    <x v="197"/>
    <d v="2026-01-31T00:00:00"/>
    <n v="4"/>
    <s v="A302"/>
    <s v="Raul Velarde"/>
    <n v="686.76"/>
    <n v="13735.2"/>
    <n v="137.352"/>
    <x v="0"/>
    <x v="43"/>
  </r>
  <r>
    <x v="198"/>
    <d v="2026-02-07T00:00:00"/>
    <n v="2"/>
    <s v="A302"/>
    <s v="Micah San Antonio"/>
    <n v="246"/>
    <n v="4920"/>
    <n v="49.2"/>
    <x v="0"/>
    <x v="44"/>
  </r>
  <r>
    <x v="199"/>
    <d v="2026-02-15T00:00:00"/>
    <n v="8"/>
    <s v="A302"/>
    <s v="Mark Gregory"/>
    <n v="461.97"/>
    <n v="9239.4000000000015"/>
    <n v="92.394000000000005"/>
    <x v="0"/>
    <x v="44"/>
  </r>
  <r>
    <x v="200"/>
    <d v="2026-02-14T00:00:00"/>
    <n v="2"/>
    <s v="A302"/>
    <s v="Jordan Sangalang"/>
    <n v="175"/>
    <n v="3500"/>
    <n v="35"/>
    <x v="0"/>
    <x v="44"/>
  </r>
  <r>
    <x v="201"/>
    <d v="2026-02-17T00:00:00"/>
    <n v="1"/>
    <s v="A302"/>
    <s v="Sarah Hafsi"/>
    <n v="183.14"/>
    <n v="3662.7999999999997"/>
    <n v="36.628"/>
    <x v="1"/>
    <x v="44"/>
  </r>
  <r>
    <x v="202"/>
    <d v="2026-02-20T00:00:00"/>
    <n v="3"/>
    <s v="A302"/>
    <s v="Caroline Rabasa"/>
    <n v="236.29"/>
    <n v="4725.8"/>
    <n v="47.258000000000003"/>
    <x v="0"/>
    <x v="44"/>
  </r>
  <r>
    <x v="203"/>
    <d v="2026-02-25T00:00:00"/>
    <n v="5"/>
    <s v="A302"/>
    <s v="S Jacquelyn"/>
    <n v="358.42"/>
    <n v="7168.4000000000005"/>
    <n v="71.684000000000012"/>
    <x v="0"/>
    <x v="44"/>
  </r>
  <r>
    <x v="204"/>
    <d v="2026-03-03T00:00:00"/>
    <n v="2"/>
    <s v="A302"/>
    <s v="Raydel Bernardez Favier"/>
    <n v="153"/>
    <n v="3060"/>
    <n v="30.6"/>
    <x v="0"/>
    <x v="45"/>
  </r>
  <r>
    <x v="205"/>
    <d v="2026-03-10T00:00:00"/>
    <n v="4"/>
    <s v="A302"/>
    <s v="Unique Yisrael"/>
    <n v="390"/>
    <n v="7800"/>
    <n v="78"/>
    <x v="1"/>
    <x v="45"/>
  </r>
  <r>
    <x v="206"/>
    <d v="2026-03-20T00:00:00"/>
    <n v="6"/>
    <s v="A302"/>
    <s v="Kenneth Hillman"/>
    <n v="430"/>
    <n v="8600"/>
    <n v="86"/>
    <x v="0"/>
    <x v="45"/>
  </r>
  <r>
    <x v="207"/>
    <d v="2026-04-08T00:00:00"/>
    <n v="7"/>
    <s v="A302"/>
    <s v="Byron Wicks"/>
    <n v="1071"/>
    <n v="21420"/>
    <n v="214.20000000000002"/>
    <x v="3"/>
    <x v="46"/>
  </r>
  <r>
    <x v="208"/>
    <d v="2026-04-10T00:00:00"/>
    <n v="4"/>
    <s v="A302"/>
    <s v="Gedalya Reichman"/>
    <n v="383"/>
    <n v="7660"/>
    <n v="76.600000000000009"/>
    <x v="0"/>
    <x v="46"/>
  </r>
  <r>
    <x v="209"/>
    <d v="2026-04-12T00:00:00"/>
    <n v="2"/>
    <s v="A302"/>
    <s v="Sarah Landau"/>
    <n v="160"/>
    <n v="3200"/>
    <n v="32"/>
    <x v="0"/>
    <x v="46"/>
  </r>
  <r>
    <x v="210"/>
    <d v="2026-04-27T00:00:00"/>
    <n v="3"/>
    <s v="A302"/>
    <s v="Christopher Foucha"/>
    <n v="280"/>
    <n v="5600"/>
    <n v="56"/>
    <x v="2"/>
    <x v="46"/>
  </r>
  <r>
    <x v="211"/>
    <d v="2026-04-29T00:00:00"/>
    <n v="3"/>
    <s v="A302"/>
    <s v="Scott Lowe"/>
    <n v="325"/>
    <n v="6500"/>
    <n v="65"/>
    <x v="0"/>
    <x v="46"/>
  </r>
  <r>
    <x v="212"/>
    <d v="2026-05-04T00:00:00"/>
    <n v="2"/>
    <s v="A302"/>
    <s v="Aaron Loeza"/>
    <n v="190"/>
    <n v="3800"/>
    <n v="38"/>
    <x v="3"/>
    <x v="47"/>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m/>
    <m/>
    <m/>
    <m/>
    <x v="8"/>
    <x v="48"/>
  </r>
  <r>
    <x v="213"/>
    <m/>
    <m/>
    <m/>
    <s v="Shared"/>
    <m/>
    <m/>
    <m/>
    <x v="8"/>
    <x v="48"/>
  </r>
  <r>
    <x v="213"/>
    <m/>
    <m/>
    <m/>
    <m/>
    <m/>
    <m/>
    <m/>
    <x v="8"/>
    <x v="4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x v="0"/>
    <n v="0"/>
    <n v="0"/>
    <n v="3464.76"/>
    <n v="0"/>
    <n v="5188"/>
    <n v="2594"/>
    <n v="6058.76"/>
    <n v="-6058.76"/>
    <s v="-"/>
    <n v="0"/>
    <n v="0"/>
    <n v="0"/>
    <n v="0"/>
    <n v="0"/>
  </r>
  <r>
    <x v="0"/>
    <x v="1"/>
    <n v="0"/>
    <n v="0"/>
    <n v="39110.720000000001"/>
    <n v="0"/>
    <n v="5188"/>
    <n v="2594"/>
    <n v="41704.720000000001"/>
    <n v="-41704.720000000001"/>
    <s v="-"/>
    <n v="0"/>
    <n v="0"/>
    <n v="0"/>
    <n v="0"/>
    <n v="0"/>
  </r>
  <r>
    <x v="1"/>
    <x v="0"/>
    <n v="0"/>
    <n v="0"/>
    <n v="9560"/>
    <n v="0"/>
    <n v="1240"/>
    <n v="620"/>
    <n v="10180"/>
    <n v="-10180"/>
    <s v="-"/>
    <n v="0"/>
    <n v="0"/>
    <n v="0"/>
    <n v="0"/>
    <n v="0"/>
  </r>
  <r>
    <x v="1"/>
    <x v="1"/>
    <n v="0"/>
    <n v="0"/>
    <n v="26307"/>
    <n v="0"/>
    <n v="1240"/>
    <n v="620"/>
    <n v="26927"/>
    <n v="-26927"/>
    <s v="-"/>
    <n v="0"/>
    <n v="0"/>
    <n v="0"/>
    <n v="0"/>
    <n v="0"/>
  </r>
  <r>
    <x v="2"/>
    <x v="0"/>
    <n v="33655.800000000003"/>
    <n v="23"/>
    <n v="5533"/>
    <n v="0.50731064671337445"/>
    <n v="7565.5"/>
    <n v="3838.0586977100343"/>
    <n v="9371.0586977100338"/>
    <n v="24284.741302289971"/>
    <n v="0.72156184973436877"/>
    <n v="28"/>
    <n v="0.8214285714285714"/>
    <n v="1463.2956521739131"/>
    <n v="1201.9928571428572"/>
    <n v="0.27843815026563129"/>
  </r>
  <r>
    <x v="2"/>
    <x v="1"/>
    <n v="32685.8"/>
    <n v="21"/>
    <n v="16096.75"/>
    <n v="0.49268935328662555"/>
    <n v="7565.5"/>
    <n v="3727.4413022899657"/>
    <n v="19824.191302289964"/>
    <n v="12861.608697710035"/>
    <n v="0.39349224120902765"/>
    <n v="28"/>
    <n v="0.75"/>
    <n v="1556.4666666666667"/>
    <n v="1167.3499999999999"/>
    <n v="0.60650775879097241"/>
  </r>
  <r>
    <x v="3"/>
    <x v="0"/>
    <n v="68562.600000000006"/>
    <n v="26"/>
    <n v="11030"/>
    <n v="0.58247245764151778"/>
    <n v="10324"/>
    <n v="6013.4456526910299"/>
    <n v="17043.445652691029"/>
    <n v="51519.154347308977"/>
    <n v="0.75141774593304478"/>
    <n v="27"/>
    <n v="0.96296296296296291"/>
    <n v="2637.023076923077"/>
    <n v="2539.3555555555558"/>
    <n v="0.24858225406695528"/>
  </r>
  <r>
    <x v="3"/>
    <x v="1"/>
    <n v="49147"/>
    <n v="21"/>
    <n v="6170"/>
    <n v="0.41752754235848222"/>
    <n v="10324"/>
    <n v="4310.5543473089701"/>
    <n v="10480.554347308971"/>
    <n v="38666.445652691029"/>
    <n v="0.78675088311984509"/>
    <n v="27"/>
    <n v="0.77777777777777779"/>
    <n v="2340.3333333333335"/>
    <n v="1820.2592592592594"/>
    <n v="0.21324911688015485"/>
  </r>
  <r>
    <x v="4"/>
    <x v="0"/>
    <n v="71984.2"/>
    <n v="35"/>
    <n v="6916"/>
    <n v="0.55374676525522559"/>
    <n v="8041"/>
    <n v="4452.6777394172686"/>
    <n v="11368.677739417268"/>
    <n v="60615.522260582729"/>
    <n v="0.84206704055310377"/>
    <n v="28"/>
    <n v="1.25"/>
    <n v="2056.6914285714283"/>
    <n v="2570.8642857142854"/>
    <n v="0.15793295944689623"/>
  </r>
  <r>
    <x v="4"/>
    <x v="1"/>
    <n v="58010.6"/>
    <n v="28"/>
    <n v="6591"/>
    <n v="0.44625323474477441"/>
    <n v="8041"/>
    <n v="3588.3222605827309"/>
    <n v="10179.32226058273"/>
    <n v="47831.277739417266"/>
    <n v="0.82452651307549429"/>
    <n v="28"/>
    <n v="1"/>
    <n v="2071.8071428571429"/>
    <n v="2071.8071428571429"/>
    <n v="0.17547348692450571"/>
  </r>
  <r>
    <x v="5"/>
    <x v="0"/>
    <n v="9130.4000000000015"/>
    <n v="6"/>
    <n v="4015"/>
    <n v="0.25344340382063768"/>
    <n v="7602"/>
    <n v="1926.6767558444876"/>
    <n v="5941.6767558444881"/>
    <n v="3188.7232441555134"/>
    <n v="0.34924244766445206"/>
    <n v="27"/>
    <n v="0.22222222222222221"/>
    <n v="1521.7333333333336"/>
    <n v="338.16296296296304"/>
    <n v="0.650757552335548"/>
  </r>
  <r>
    <x v="5"/>
    <x v="1"/>
    <n v="26895"/>
    <n v="15"/>
    <n v="8211"/>
    <n v="0.74655659617936232"/>
    <n v="7602"/>
    <n v="5675.3232441555119"/>
    <n v="13886.323244155512"/>
    <n v="13008.676755844488"/>
    <n v="0.48368383550267663"/>
    <n v="27"/>
    <n v="0.55555555555555558"/>
    <n v="1793"/>
    <n v="996.11111111111109"/>
    <n v="0.51631616449732332"/>
  </r>
  <r>
    <x v="5"/>
    <x v="2"/>
    <n v="0"/>
    <n v="0"/>
    <n v="2600"/>
    <n v="0"/>
    <n v="7602"/>
    <n v="0"/>
    <n v="2600"/>
    <n v="-2600"/>
    <s v="-"/>
    <n v="27"/>
    <n v="0"/>
    <n v="0"/>
    <n v="0"/>
    <n v="0"/>
  </r>
  <r>
    <x v="6"/>
    <x v="0"/>
    <n v="43007.8"/>
    <n v="13"/>
    <n v="13166"/>
    <n v="0.4866005462514793"/>
    <n v="10489"/>
    <n v="5103.9531296317664"/>
    <n v="18269.953129631765"/>
    <n v="24737.846870368237"/>
    <n v="0.57519442683346356"/>
    <n v="28"/>
    <n v="0.4642857142857143"/>
    <n v="3308.292307692308"/>
    <n v="1535.9928571428572"/>
    <n v="0.42480557316653639"/>
  </r>
  <r>
    <x v="6"/>
    <x v="1"/>
    <n v="45376.4"/>
    <n v="22"/>
    <n v="14801"/>
    <n v="0.51339945374852058"/>
    <n v="10489"/>
    <n v="5385.0468703682327"/>
    <n v="20186.046870368235"/>
    <n v="25190.353129631767"/>
    <n v="0.5551421692693066"/>
    <n v="28"/>
    <n v="0.7857142857142857"/>
    <n v="2062.5636363636363"/>
    <n v="1620.5857142857144"/>
    <n v="0.44485783073069335"/>
  </r>
  <r>
    <x v="6"/>
    <x v="2"/>
    <n v="0"/>
    <n v="0"/>
    <n v="10533"/>
    <n v="0"/>
    <n v="10489"/>
    <n v="0"/>
    <n v="10533"/>
    <n v="-10533"/>
    <s v="-"/>
    <n v="28"/>
    <n v="0"/>
    <n v="0"/>
    <n v="0"/>
    <n v="0"/>
  </r>
  <r>
    <x v="7"/>
    <x v="0"/>
    <n v="32774.400000000001"/>
    <n v="13"/>
    <n v="12478"/>
    <n v="0.56846903413131489"/>
    <n v="14507"/>
    <n v="8246.7802781429855"/>
    <n v="20724.780278142985"/>
    <n v="12049.619721857016"/>
    <n v="0.36765340393285662"/>
    <n v="28"/>
    <n v="0.4642857142857143"/>
    <n v="2521.1076923076926"/>
    <n v="1170.5142857142857"/>
    <n v="0.63234659606714338"/>
  </r>
  <r>
    <x v="7"/>
    <x v="1"/>
    <n v="5390.2"/>
    <n v="5"/>
    <n v="14133"/>
    <n v="9.3492536485019206E-2"/>
    <n v="14507"/>
    <n v="1356.2962267881737"/>
    <n v="15489.296226788174"/>
    <n v="-10099.096226788173"/>
    <n v="-1.8736032478921327"/>
    <n v="28"/>
    <n v="0.17857142857142858"/>
    <n v="1078.04"/>
    <n v="192.50714285714284"/>
    <n v="2.8736032478921327"/>
  </r>
  <r>
    <x v="7"/>
    <x v="2"/>
    <n v="19489.199999999997"/>
    <n v="17"/>
    <n v="49302"/>
    <n v="0.33803842938366591"/>
    <n v="14507"/>
    <n v="4903.9234950688415"/>
    <n v="54205.923495068841"/>
    <n v="-34716.723495068843"/>
    <n v="-1.7813313781514299"/>
    <n v="28"/>
    <n v="0.6071428571428571"/>
    <n v="1146.4235294117645"/>
    <n v="696.04285714285709"/>
    <n v="2.7813313781514299"/>
  </r>
  <r>
    <x v="8"/>
    <x v="0"/>
    <n v="0"/>
    <n v="0"/>
    <n v="3550"/>
    <n v="0"/>
    <n v="7560.2"/>
    <n v="2520.0666666666666"/>
    <n v="6070.0666666666666"/>
    <n v="-6070.0666666666666"/>
    <s v="-"/>
    <n v="27"/>
    <n v="0"/>
    <n v="0"/>
    <n v="0"/>
    <n v="0"/>
  </r>
  <r>
    <x v="8"/>
    <x v="1"/>
    <n v="0"/>
    <n v="0"/>
    <n v="0"/>
    <n v="0"/>
    <n v="7560.2"/>
    <n v="2520.0666666666666"/>
    <n v="2520.0666666666666"/>
    <n v="-2520.0666666666666"/>
    <s v="-"/>
    <n v="27"/>
    <n v="0"/>
    <n v="0"/>
    <n v="0"/>
    <n v="0"/>
  </r>
  <r>
    <x v="8"/>
    <x v="2"/>
    <n v="0"/>
    <n v="0"/>
    <n v="1900"/>
    <n v="0"/>
    <n v="7560.2"/>
    <n v="2520.0666666666666"/>
    <n v="4420.0666666666666"/>
    <n v="-4420.0666666666666"/>
    <s v="-"/>
    <n v="27"/>
    <n v="0"/>
    <n v="0"/>
    <n v="0"/>
    <n v="0"/>
  </r>
  <r>
    <x v="9"/>
    <x v="0"/>
    <n v="18000"/>
    <n v="10"/>
    <n v="6267"/>
    <n v="1"/>
    <n v="15960"/>
    <n v="15960"/>
    <n v="22227"/>
    <n v="-4227"/>
    <n v="-0.23483333333333334"/>
    <n v="28"/>
    <n v="0.35714285714285715"/>
    <n v="1800"/>
    <n v="642.85714285714289"/>
    <n v="1.2348333333333332"/>
  </r>
  <r>
    <x v="9"/>
    <x v="1"/>
    <n v="0"/>
    <n v="0"/>
    <n v="700"/>
    <n v="0"/>
    <n v="15960"/>
    <n v="0"/>
    <n v="700"/>
    <n v="-700"/>
    <s v="-"/>
    <n v="28"/>
    <n v="0"/>
    <n v="0"/>
    <n v="0"/>
    <n v="0"/>
  </r>
  <r>
    <x v="9"/>
    <x v="2"/>
    <n v="0"/>
    <n v="0"/>
    <n v="4200"/>
    <n v="0"/>
    <n v="15960"/>
    <n v="0"/>
    <n v="4200"/>
    <n v="-4200"/>
    <s v="-"/>
    <n v="28"/>
    <n v="0"/>
    <n v="0"/>
    <n v="0"/>
    <n v="0"/>
  </r>
  <r>
    <x v="10"/>
    <x v="0"/>
    <n v="49329.599999999999"/>
    <n v="26"/>
    <n v="11600"/>
    <n v="0.67306306896325885"/>
    <n v="38209"/>
    <n v="25717.066802017158"/>
    <n v="37317.066802017158"/>
    <n v="12012.533197982841"/>
    <n v="0.24351572277056455"/>
    <n v="27"/>
    <n v="0.96296296296296291"/>
    <n v="1897.2923076923075"/>
    <n v="1827.0222222222221"/>
    <n v="0.75648427722943545"/>
  </r>
  <r>
    <x v="10"/>
    <x v="1"/>
    <n v="12300"/>
    <n v="6"/>
    <n v="4470"/>
    <n v="0.16782369506843933"/>
    <n v="38209"/>
    <n v="6412.375564869998"/>
    <n v="10882.375564869999"/>
    <n v="1417.6244351300011"/>
    <n v="0.11525401911626025"/>
    <n v="27"/>
    <n v="0.22222222222222221"/>
    <n v="2050"/>
    <n v="455.55555555555554"/>
    <n v="0.88474598088373979"/>
  </r>
  <r>
    <x v="10"/>
    <x v="2"/>
    <n v="11661.6"/>
    <n v="8"/>
    <n v="23842"/>
    <n v="0.15911323596830179"/>
    <n v="38209"/>
    <n v="6079.5576331128432"/>
    <n v="29921.557633112843"/>
    <n v="-18259.957633112841"/>
    <n v="-1.5658192386218734"/>
    <n v="27"/>
    <n v="0.29629629629629628"/>
    <n v="1457.7"/>
    <n v="431.9111111111111"/>
    <n v="2.5658192386218737"/>
  </r>
  <r>
    <x v="11"/>
    <x v="0"/>
    <n v="56866.600000000006"/>
    <n v="16"/>
    <n v="16310"/>
    <n v="0.29099146674199022"/>
    <n v="22700"/>
    <n v="6605.5062950431784"/>
    <n v="22915.506295043178"/>
    <n v="33951.093704956831"/>
    <n v="0.5970304837102417"/>
    <n v="28"/>
    <n v="0.5714285714285714"/>
    <n v="3554.1625000000004"/>
    <n v="2030.9500000000003"/>
    <n v="0.40296951628975841"/>
  </r>
  <r>
    <x v="11"/>
    <x v="1"/>
    <n v="74357"/>
    <n v="19"/>
    <n v="7460"/>
    <n v="0.38049140431350154"/>
    <n v="22700"/>
    <n v="8637.1548779164841"/>
    <n v="16097.154877916484"/>
    <n v="58259.845122083512"/>
    <n v="0.7835152725645671"/>
    <n v="28"/>
    <n v="0.6785714285714286"/>
    <n v="3913.5263157894738"/>
    <n v="2655.6071428571427"/>
    <n v="0.2164847274354329"/>
  </r>
  <r>
    <x v="11"/>
    <x v="2"/>
    <n v="64200"/>
    <n v="42"/>
    <n v="7490"/>
    <n v="0.32851712894450824"/>
    <n v="22700"/>
    <n v="7457.3388270403375"/>
    <n v="14947.338827040337"/>
    <n v="49252.661172959663"/>
    <n v="0.76717540767849945"/>
    <n v="28"/>
    <n v="1.5"/>
    <n v="1528.5714285714287"/>
    <n v="2292.8571428571427"/>
    <n v="0.23282459232150057"/>
  </r>
  <r>
    <x v="12"/>
    <x v="0"/>
    <n v="127716.40000000001"/>
    <n v="43"/>
    <n v="24790"/>
    <n v="0.53977007141631517"/>
    <n v="11670"/>
    <n v="6299.1167334283982"/>
    <n v="31089.116733428396"/>
    <n v="96627.283266571612"/>
    <n v="0.7565769413056711"/>
    <n v="28"/>
    <n v="1.5357142857142858"/>
    <n v="2970.1488372093027"/>
    <n v="4561.3"/>
    <n v="0.24342305869432895"/>
  </r>
  <r>
    <x v="12"/>
    <x v="1"/>
    <n v="36306.6"/>
    <n v="13"/>
    <n v="14670"/>
    <n v="0.15344322322648921"/>
    <n v="11670"/>
    <n v="1790.682415053129"/>
    <n v="16460.682415053128"/>
    <n v="19845.91758494687"/>
    <n v="0.54662010722422016"/>
    <n v="28"/>
    <n v="0.4642857142857143"/>
    <n v="2792.8153846153846"/>
    <n v="1296.6642857142856"/>
    <n v="0.45337989277577984"/>
  </r>
  <r>
    <x v="12"/>
    <x v="2"/>
    <n v="72589.600000000006"/>
    <n v="22"/>
    <n v="17390"/>
    <n v="0.30678670535719571"/>
    <n v="11670"/>
    <n v="3580.2008515184739"/>
    <n v="20970.200851518475"/>
    <n v="51619.399148481534"/>
    <n v="0.71111287496392772"/>
    <n v="28"/>
    <n v="0.7857142857142857"/>
    <n v="3299.5272727272732"/>
    <n v="2592.4857142857145"/>
    <n v="0.28888712503607228"/>
  </r>
  <r>
    <x v="13"/>
    <x v="0"/>
    <n v="50500.800000000003"/>
    <n v="47"/>
    <n v="12601"/>
    <n v="0.32686855820239386"/>
    <n v="26670"/>
    <n v="8717.5844472578447"/>
    <n v="21318.584447257846"/>
    <n v="29182.215552742156"/>
    <n v="0.57785650034736391"/>
    <n v="25"/>
    <n v="1.88"/>
    <n v="1074.4851063829788"/>
    <n v="2020.0320000000002"/>
    <n v="0.42214349965263609"/>
  </r>
  <r>
    <x v="13"/>
    <x v="1"/>
    <n v="40885.599999999999"/>
    <n v="37"/>
    <n v="9120"/>
    <n v="0.26463377061828314"/>
    <n v="26670"/>
    <n v="7057.7826623896117"/>
    <n v="16177.782662389611"/>
    <n v="24707.817337610388"/>
    <n v="0.60431587986015589"/>
    <n v="25"/>
    <n v="1.48"/>
    <n v="1105.0162162162162"/>
    <n v="1635.424"/>
    <n v="0.39568412013984411"/>
  </r>
  <r>
    <x v="13"/>
    <x v="2"/>
    <n v="63112.4"/>
    <n v="32"/>
    <n v="12036"/>
    <n v="0.40849767117932312"/>
    <n v="26670"/>
    <n v="10894.632890352548"/>
    <n v="22930.63289035255"/>
    <n v="40181.767109647451"/>
    <n v="0.63666992714026804"/>
    <n v="25"/>
    <n v="1.28"/>
    <n v="1972.2625"/>
    <n v="2524.4960000000001"/>
    <n v="0.36333007285973201"/>
  </r>
  <r>
    <x v="14"/>
    <x v="0"/>
    <n v="34715"/>
    <n v="17"/>
    <n v="43090"/>
    <n v="0.53097277454879166"/>
    <n v="25160"/>
    <n v="13359.275007647599"/>
    <n v="56449.2750076476"/>
    <n v="-21734.2750076476"/>
    <n v="-0.62607734430786688"/>
    <n v="28"/>
    <n v="0.6071428571428571"/>
    <n v="2042.0588235294117"/>
    <n v="1239.8214285714287"/>
    <n v="1.6260773443078669"/>
  </r>
  <r>
    <x v="14"/>
    <x v="1"/>
    <n v="9465"/>
    <n v="4"/>
    <n v="23353"/>
    <n v="0.14476904252064851"/>
    <n v="25160"/>
    <n v="3642.3891098195168"/>
    <n v="26995.389109819516"/>
    <n v="-17530.389109819516"/>
    <n v="-1.8521277453586389"/>
    <n v="28"/>
    <n v="0.14285714285714285"/>
    <n v="2366.25"/>
    <n v="338.03571428571428"/>
    <n v="2.8521277453586387"/>
  </r>
  <r>
    <x v="14"/>
    <x v="2"/>
    <n v="21200"/>
    <n v="9"/>
    <n v="46490"/>
    <n v="0.3242581829305598"/>
    <n v="25160"/>
    <n v="8158.3358825328842"/>
    <n v="54648.335882532883"/>
    <n v="-33448.335882532883"/>
    <n v="-1.5777516925723059"/>
    <n v="28"/>
    <n v="0.32142857142857145"/>
    <n v="2355.5555555555557"/>
    <n v="757.14285714285711"/>
    <n v="2.5777516925723059"/>
  </r>
  <r>
    <x v="15"/>
    <x v="0"/>
    <n v="31235.200000000001"/>
    <n v="10"/>
    <n v="30130"/>
    <n v="0.20583978933106284"/>
    <n v="3612"/>
    <n v="743.49331906379894"/>
    <n v="30873.4933190638"/>
    <n v="361.70668093620043"/>
    <n v="1.1580098124430144E-2"/>
    <n v="27"/>
    <n v="0.37037037037037035"/>
    <n v="3123.52"/>
    <n v="1156.8592592592593"/>
    <n v="0.98841990187556983"/>
  </r>
  <r>
    <x v="15"/>
    <x v="1"/>
    <n v="52368.6"/>
    <n v="12"/>
    <n v="20200"/>
    <n v="0.34510877444558374"/>
    <n v="3612"/>
    <n v="1246.5328932974485"/>
    <n v="21446.532893297448"/>
    <n v="30922.067106702551"/>
    <n v="0.59046961550819677"/>
    <n v="27"/>
    <n v="0.44444444444444442"/>
    <n v="4364.05"/>
    <n v="1939.5777777777778"/>
    <n v="0.40953038449180329"/>
  </r>
  <r>
    <x v="15"/>
    <x v="2"/>
    <n v="68141.399999999994"/>
    <n v="24"/>
    <n v="29030"/>
    <n v="0.44905143622335331"/>
    <n v="3612"/>
    <n v="1621.9737876387521"/>
    <n v="30651.973787638752"/>
    <n v="37489.426212361243"/>
    <n v="0.55017105918518328"/>
    <n v="27"/>
    <n v="0.88888888888888884"/>
    <n v="2839.2249999999999"/>
    <n v="2523.7555555555555"/>
    <n v="0.44982894081481678"/>
  </r>
  <r>
    <x v="16"/>
    <x v="0"/>
    <n v="0"/>
    <n v="0"/>
    <n v="42910"/>
    <n v="0"/>
    <n v="12450"/>
    <n v="0"/>
    <n v="42910"/>
    <n v="-42910"/>
    <s v="-"/>
    <n v="28"/>
    <n v="0"/>
    <n v="0"/>
    <n v="0"/>
    <n v="0"/>
  </r>
  <r>
    <x v="16"/>
    <x v="1"/>
    <n v="0"/>
    <n v="0"/>
    <n v="19800"/>
    <n v="0"/>
    <n v="12450"/>
    <n v="0"/>
    <n v="19800"/>
    <n v="-19800"/>
    <s v="-"/>
    <n v="28"/>
    <n v="0"/>
    <n v="0"/>
    <n v="0"/>
    <n v="0"/>
  </r>
  <r>
    <x v="16"/>
    <x v="2"/>
    <n v="42114.2"/>
    <n v="16"/>
    <n v="43790"/>
    <n v="1"/>
    <n v="12450"/>
    <n v="12450"/>
    <n v="56240"/>
    <n v="-14125.800000000003"/>
    <n v="-0.33541655783559948"/>
    <n v="28"/>
    <n v="0.5714285714285714"/>
    <n v="2632.1374999999998"/>
    <n v="1504.0785714285714"/>
    <n v="1.3354165578355994"/>
  </r>
  <r>
    <x v="17"/>
    <x v="0"/>
    <n v="14252.8"/>
    <n v="8"/>
    <n v="26460"/>
    <n v="8.5936444847479213E-2"/>
    <n v="5800"/>
    <n v="498.43138011537945"/>
    <n v="26958.43138011538"/>
    <n v="-12705.631380115381"/>
    <n v="-0.89144809301438188"/>
    <n v="27"/>
    <n v="0.29629629629629628"/>
    <n v="1781.6"/>
    <n v="527.8814814814815"/>
    <n v="1.8914480930143818"/>
  </r>
  <r>
    <x v="17"/>
    <x v="1"/>
    <n v="0"/>
    <n v="0"/>
    <n v="32400"/>
    <n v="0"/>
    <n v="5800"/>
    <n v="0"/>
    <n v="32400"/>
    <n v="-32400"/>
    <s v="-"/>
    <n v="27"/>
    <n v="0"/>
    <n v="0"/>
    <n v="0"/>
    <n v="0"/>
  </r>
  <r>
    <x v="17"/>
    <x v="2"/>
    <n v="151600"/>
    <n v="10"/>
    <n v="28600"/>
    <n v="0.9140635551525208"/>
    <n v="5800"/>
    <n v="5301.5686198846206"/>
    <n v="33901.568619884623"/>
    <n v="117698.43138011538"/>
    <n v="0.77637487717754206"/>
    <n v="27"/>
    <n v="0.37037037037037035"/>
    <n v="15160"/>
    <n v="5614.8148148148148"/>
    <n v="0.22362512282245794"/>
  </r>
  <r>
    <x v="18"/>
    <x v="0"/>
    <n v="25843.800000000003"/>
    <n v="10"/>
    <n v="24750"/>
    <n v="1"/>
    <n v="2300"/>
    <n v="2300"/>
    <n v="27050"/>
    <n v="-1206.1999999999971"/>
    <n v="-4.667270293068345E-2"/>
    <n v="28"/>
    <n v="0.35714285714285715"/>
    <n v="2584.38"/>
    <n v="922.99285714285725"/>
    <n v="1.0466727029306835"/>
  </r>
  <r>
    <x v="18"/>
    <x v="1"/>
    <n v="0"/>
    <n v="0"/>
    <n v="18000"/>
    <n v="0"/>
    <n v="2300"/>
    <n v="0"/>
    <n v="18000"/>
    <n v="-18000"/>
    <s v="-"/>
    <n v="28"/>
    <n v="0"/>
    <n v="0"/>
    <n v="0"/>
    <n v="0"/>
  </r>
  <r>
    <x v="18"/>
    <x v="2"/>
    <n v="0"/>
    <n v="0"/>
    <n v="20000"/>
    <n v="0"/>
    <n v="2300"/>
    <n v="0"/>
    <n v="20000"/>
    <n v="-20000"/>
    <s v="-"/>
    <n v="28"/>
    <n v="0"/>
    <n v="0"/>
    <n v="0"/>
    <n v="0"/>
  </r>
  <r>
    <x v="19"/>
    <x v="0"/>
    <n v="0"/>
    <n v="0"/>
    <n v="37550"/>
    <n v="0"/>
    <n v="8945"/>
    <n v="2981.6666666666665"/>
    <n v="40531.666666666664"/>
    <n v="-40531.666666666664"/>
    <s v="-"/>
    <n v="28"/>
    <n v="0"/>
    <n v="0"/>
    <n v="0"/>
    <n v="0"/>
  </r>
  <r>
    <x v="19"/>
    <x v="1"/>
    <n v="0"/>
    <n v="0"/>
    <n v="25000"/>
    <n v="0"/>
    <n v="8945"/>
    <n v="2981.6666666666665"/>
    <n v="27981.666666666668"/>
    <n v="-27981.666666666668"/>
    <s v="-"/>
    <n v="28"/>
    <n v="0"/>
    <n v="0"/>
    <n v="0"/>
    <n v="0"/>
  </r>
  <r>
    <x v="19"/>
    <x v="2"/>
    <n v="0"/>
    <n v="0"/>
    <n v="30000"/>
    <n v="0"/>
    <n v="8945"/>
    <n v="2981.6666666666665"/>
    <n v="32981.666666666664"/>
    <n v="-32981.666666666664"/>
    <s v="-"/>
    <n v="28"/>
    <n v="0"/>
    <n v="0"/>
    <n v="0"/>
    <n v="0"/>
  </r>
  <r>
    <x v="20"/>
    <x v="0"/>
    <n v="4760"/>
    <n v="4"/>
    <n v="40460"/>
    <n v="3.4303833957912942E-2"/>
    <n v="18038"/>
    <n v="618.77255693283371"/>
    <n v="41078.772556932832"/>
    <n v="-36318.772556932832"/>
    <n v="-7.6299942346497547"/>
    <n v="27"/>
    <n v="0.14814814814814814"/>
    <n v="1190"/>
    <n v="176.2962962962963"/>
    <n v="8.6299942346497538"/>
  </r>
  <r>
    <x v="20"/>
    <x v="1"/>
    <n v="134000"/>
    <n v="2"/>
    <n v="21050"/>
    <n v="0.96569616604208708"/>
    <n v="18038"/>
    <n v="17419.227443067168"/>
    <n v="38469.227443067168"/>
    <n v="95530.772556932832"/>
    <n v="0.71291621311143905"/>
    <n v="27"/>
    <n v="7.407407407407407E-2"/>
    <n v="67000"/>
    <n v="4962.9629629629626"/>
    <n v="0.28708378688856095"/>
  </r>
  <r>
    <x v="20"/>
    <x v="2"/>
    <n v="0"/>
    <n v="0"/>
    <n v="43820"/>
    <n v="0"/>
    <n v="18038"/>
    <n v="0"/>
    <n v="43820"/>
    <n v="-43820"/>
    <s v="-"/>
    <n v="27"/>
    <n v="0"/>
    <n v="0"/>
    <n v="0"/>
    <n v="0"/>
  </r>
  <r>
    <x v="21"/>
    <x v="0"/>
    <n v="17400"/>
    <n v="11"/>
    <n v="44250"/>
    <n v="0.10405453893074991"/>
    <n v="13055"/>
    <n v="1358.43200574094"/>
    <n v="45608.432005740942"/>
    <n v="-28208.432005740942"/>
    <n v="-1.6211742532035025"/>
    <n v="28"/>
    <n v="0.39285714285714285"/>
    <n v="1581.8181818181818"/>
    <n v="621.42857142857144"/>
    <n v="2.6211742532035025"/>
  </r>
  <r>
    <x v="21"/>
    <x v="1"/>
    <n v="0"/>
    <n v="0"/>
    <n v="19000"/>
    <n v="0"/>
    <n v="13055"/>
    <n v="0"/>
    <n v="19000"/>
    <n v="-19000"/>
    <s v="-"/>
    <n v="28"/>
    <n v="0"/>
    <n v="0"/>
    <n v="0"/>
    <n v="0"/>
  </r>
  <r>
    <x v="21"/>
    <x v="2"/>
    <n v="149820"/>
    <n v="11"/>
    <n v="44340"/>
    <n v="0.8959454610692501"/>
    <n v="13055"/>
    <n v="11696.56799425906"/>
    <n v="56036.567994259058"/>
    <n v="93783.432005740935"/>
    <n v="0.62597404889694919"/>
    <n v="28"/>
    <n v="0.39285714285714285"/>
    <n v="13620"/>
    <n v="5350.7142857142853"/>
    <n v="0.3740259511030507"/>
  </r>
  <r>
    <x v="22"/>
    <x v="0"/>
    <n v="41410.199999999997"/>
    <n v="42"/>
    <n v="37800"/>
    <n v="0.39420940500465507"/>
    <n v="5518"/>
    <n v="2175.2474968156866"/>
    <n v="39975.247496815689"/>
    <n v="1434.9525031843077"/>
    <n v="3.4652150996235413E-2"/>
    <n v="27"/>
    <n v="1.5555555555555556"/>
    <n v="985.9571428571428"/>
    <n v="1533.711111111111"/>
    <n v="0.96534784900376458"/>
  </r>
  <r>
    <x v="22"/>
    <x v="1"/>
    <n v="0"/>
    <n v="0"/>
    <n v="21690"/>
    <n v="0"/>
    <n v="5518"/>
    <n v="0"/>
    <n v="21690"/>
    <n v="-21690"/>
    <s v="-"/>
    <n v="27"/>
    <n v="0"/>
    <n v="0"/>
    <n v="0"/>
    <n v="0"/>
  </r>
  <r>
    <x v="22"/>
    <x v="2"/>
    <n v="63636"/>
    <n v="13"/>
    <n v="38460"/>
    <n v="0.60579059499534493"/>
    <n v="5518"/>
    <n v="3342.7525031843134"/>
    <n v="41802.752503184311"/>
    <n v="21833.247496815689"/>
    <n v="0.34309584978338814"/>
    <n v="27"/>
    <n v="0.48148148148148145"/>
    <n v="4895.0769230769229"/>
    <n v="2356.8888888888887"/>
    <n v="0.65690415021661186"/>
  </r>
  <r>
    <x v="23"/>
    <x v="0"/>
    <n v="132927.79999999999"/>
    <n v="11"/>
    <n v="45360"/>
    <n v="0.20586612796464984"/>
    <n v="1460"/>
    <n v="300.56454682838876"/>
    <n v="45660.564546828391"/>
    <n v="87267.235453171597"/>
    <n v="0.65650101373205305"/>
    <n v="28"/>
    <n v="0.39285714285714285"/>
    <n v="12084.345454545453"/>
    <n v="4747.4214285714279"/>
    <n v="0.34349898626794695"/>
  </r>
  <r>
    <x v="23"/>
    <x v="1"/>
    <n v="140103.6"/>
    <n v="15"/>
    <n v="24260"/>
    <n v="0.21697933499168812"/>
    <n v="1460"/>
    <n v="316.78982908786463"/>
    <n v="24576.789829087866"/>
    <n v="115526.81017091214"/>
    <n v="0.82458131105062349"/>
    <n v="28"/>
    <n v="0.5357142857142857"/>
    <n v="9340.24"/>
    <n v="5003.7"/>
    <n v="0.17541868894937648"/>
  </r>
  <r>
    <x v="23"/>
    <x v="2"/>
    <n v="372668.8"/>
    <n v="42"/>
    <n v="39320"/>
    <n v="0.57715453704366204"/>
    <n v="1460"/>
    <n v="842.64562408374661"/>
    <n v="40162.645624083743"/>
    <n v="332506.15437591623"/>
    <n v="0.89222965371910989"/>
    <n v="28"/>
    <n v="1.5"/>
    <n v="8873.0666666666657"/>
    <n v="13309.6"/>
    <n v="0.10777034628089001"/>
  </r>
  <r>
    <x v="24"/>
    <x v="0"/>
    <n v="691789.6"/>
    <n v="21"/>
    <n v="58210"/>
    <n v="0.82627355297236005"/>
    <n v="18969"/>
    <n v="15673.583026332697"/>
    <n v="73883.583026332693"/>
    <n v="617906.01697366731"/>
    <n v="0.89319934409778257"/>
    <n v="28"/>
    <n v="0.75"/>
    <n v="32942.361904761907"/>
    <n v="24706.771428571428"/>
    <n v="0.10680065590221752"/>
  </r>
  <r>
    <x v="24"/>
    <x v="1"/>
    <n v="37610.800000000003"/>
    <n v="11"/>
    <n v="29993.760000000002"/>
    <n v="4.4922342495655972E-2"/>
    <n v="18969"/>
    <n v="852.13191480009812"/>
    <n v="30845.8919148001"/>
    <n v="6764.9080851999024"/>
    <n v="0.17986610455507199"/>
    <n v="28"/>
    <n v="0.39285714285714285"/>
    <n v="3419.1636363636367"/>
    <n v="1343.2428571428572"/>
    <n v="0.82013389544492798"/>
  </r>
  <r>
    <x v="24"/>
    <x v="2"/>
    <n v="107840"/>
    <n v="36"/>
    <n v="34970"/>
    <n v="0.12880410453198388"/>
    <n v="18969"/>
    <n v="2443.2850588672022"/>
    <n v="37413.285058867201"/>
    <n v="70426.714941132799"/>
    <n v="0.65306671866777444"/>
    <n v="28"/>
    <n v="1.2857142857142858"/>
    <n v="2995.5555555555557"/>
    <n v="3851.4285714285716"/>
    <n v="0.34693328133222551"/>
  </r>
  <r>
    <x v="25"/>
    <x v="0"/>
    <n v="41551.399999999994"/>
    <n v="13"/>
    <n v="29037"/>
    <n v="0.17964801416728707"/>
    <n v="19120"/>
    <n v="3434.8700308785287"/>
    <n v="32471.87003087853"/>
    <n v="9079.5299691214641"/>
    <n v="0.21851321421471875"/>
    <n v="26"/>
    <n v="0.5"/>
    <n v="3196.2615384615378"/>
    <n v="1598.1307692307689"/>
    <n v="0.78148678578528119"/>
  </r>
  <r>
    <x v="25"/>
    <x v="1"/>
    <n v="81000"/>
    <n v="180"/>
    <n v="15333.4"/>
    <n v="0.35020454539558848"/>
    <n v="19120"/>
    <n v="6695.9109079636519"/>
    <n v="22029.310907963652"/>
    <n v="58970.689092036351"/>
    <n v="0.72803319866711547"/>
    <n v="26"/>
    <n v="6.9230769230769234"/>
    <n v="450"/>
    <n v="3115.3846153846152"/>
    <n v="0.27196680133288459"/>
  </r>
  <r>
    <x v="25"/>
    <x v="2"/>
    <n v="108742"/>
    <n v="34"/>
    <n v="27027"/>
    <n v="0.47014744043712448"/>
    <n v="19120"/>
    <n v="8989.2190611578208"/>
    <n v="36016.219061157819"/>
    <n v="72725.780938842188"/>
    <n v="0.66879201172354918"/>
    <n v="26"/>
    <n v="1.3076923076923077"/>
    <n v="3198.294117647059"/>
    <n v="4182.3846153846152"/>
    <n v="0.33120798827645087"/>
  </r>
  <r>
    <x v="26"/>
    <x v="0"/>
    <n v="54214.6"/>
    <n v="17"/>
    <n v="30122"/>
    <n v="0.30385636732731086"/>
    <n v="2740"/>
    <n v="832.56644647683174"/>
    <n v="30954.566446476831"/>
    <n v="23260.033553523168"/>
    <n v="0.42903633990702078"/>
    <n v="28"/>
    <n v="0.6071428571428571"/>
    <n v="3189.0941176470587"/>
    <n v="1936.2357142857143"/>
    <n v="0.57096366009297927"/>
  </r>
  <r>
    <x v="26"/>
    <x v="1"/>
    <n v="0"/>
    <n v="0"/>
    <n v="14403.46"/>
    <n v="0"/>
    <n v="2740"/>
    <n v="0"/>
    <n v="14403.46"/>
    <n v="-14403.46"/>
    <s v="-"/>
    <n v="28"/>
    <n v="0"/>
    <n v="0"/>
    <n v="0"/>
    <n v="0"/>
  </r>
  <r>
    <x v="26"/>
    <x v="2"/>
    <n v="124207.20000000001"/>
    <n v="90"/>
    <n v="29512"/>
    <n v="0.69614363267268908"/>
    <n v="2740"/>
    <n v="1907.433553523168"/>
    <n v="31419.433553523169"/>
    <n v="92787.766446476846"/>
    <n v="0.74704015907674304"/>
    <n v="28"/>
    <n v="3.2142857142857144"/>
    <n v="1380.0800000000002"/>
    <n v="4435.971428571429"/>
    <n v="0.25295984092325702"/>
  </r>
  <r>
    <x v="27"/>
    <x v="0"/>
    <n v="25320"/>
    <n v="11"/>
    <n v="29762"/>
    <n v="0.29998578266432868"/>
    <n v="7000"/>
    <n v="2099.9004786503006"/>
    <n v="31861.900478650299"/>
    <n v="-6541.9004786502992"/>
    <n v="-0.25836889726107026"/>
    <n v="27"/>
    <n v="0.40740740740740738"/>
    <n v="2301.818181818182"/>
    <n v="937.77777777777783"/>
    <n v="1.2583688972610703"/>
  </r>
  <r>
    <x v="27"/>
    <x v="1"/>
    <n v="0"/>
    <n v="0"/>
    <n v="22333.46"/>
    <n v="0"/>
    <n v="7000"/>
    <n v="0"/>
    <n v="22333.46"/>
    <n v="-22333.46"/>
    <s v="-"/>
    <n v="27"/>
    <n v="0"/>
    <n v="0"/>
    <n v="0"/>
    <n v="0"/>
  </r>
  <r>
    <x v="27"/>
    <x v="2"/>
    <n v="59084"/>
    <n v="66"/>
    <n v="33722"/>
    <n v="0.70001421733567126"/>
    <n v="7000"/>
    <n v="4900.099521349699"/>
    <n v="38622.099521349701"/>
    <n v="20461.900478650299"/>
    <n v="0.34631880845322421"/>
    <n v="27"/>
    <n v="2.4444444444444446"/>
    <n v="895.21212121212125"/>
    <n v="2188.2962962962961"/>
    <n v="0.65368119154677584"/>
  </r>
  <r>
    <x v="28"/>
    <x v="0"/>
    <n v="4760"/>
    <n v="2"/>
    <n v="31852"/>
    <n v="5.2587968844942816E-2"/>
    <n v="3200"/>
    <n v="168.28150030381701"/>
    <n v="32020.281500303816"/>
    <n v="-27260.281500303816"/>
    <n v="-5.7269498950218098"/>
    <n v="28"/>
    <n v="7.1428571428571425E-2"/>
    <n v="2380"/>
    <n v="170"/>
    <n v="6.7269498950218098"/>
  </r>
  <r>
    <x v="28"/>
    <x v="1"/>
    <n v="10216.799999999999"/>
    <n v="3"/>
    <n v="24773.809999999998"/>
    <n v="0.11287410926365793"/>
    <n v="3200"/>
    <n v="361.19714964370536"/>
    <n v="25135.007149643701"/>
    <n v="-14918.207149643702"/>
    <n v="-1.4601643518169782"/>
    <n v="28"/>
    <n v="0.10714285714285714"/>
    <n v="3405.6"/>
    <n v="364.88571428571424"/>
    <n v="2.460164351816978"/>
  </r>
  <r>
    <x v="28"/>
    <x v="2"/>
    <n v="75538.200000000012"/>
    <n v="58"/>
    <n v="30062"/>
    <n v="0.83453792189139919"/>
    <n v="3200"/>
    <n v="2670.5213500524774"/>
    <n v="32732.521350052477"/>
    <n v="42805.678649947535"/>
    <n v="0.56667591562874853"/>
    <n v="28"/>
    <n v="2.0714285714285716"/>
    <n v="1302.3827586206899"/>
    <n v="2697.7928571428574"/>
    <n v="0.43332408437125153"/>
  </r>
  <r>
    <x v="29"/>
    <x v="0"/>
    <n v="15008.6"/>
    <n v="7"/>
    <n v="29086"/>
    <n v="0.32623703407440902"/>
    <n v="700"/>
    <n v="228.3659238520863"/>
    <n v="29314.365923852085"/>
    <n v="-14305.765923852085"/>
    <n v="-0.95317124341058357"/>
    <n v="27"/>
    <n v="0.25925925925925924"/>
    <n v="2144.0857142857144"/>
    <n v="555.87407407407409"/>
    <n v="1.9531712434105835"/>
  </r>
  <r>
    <x v="29"/>
    <x v="1"/>
    <n v="0"/>
    <n v="0"/>
    <n v="13676.96"/>
    <n v="0"/>
    <n v="700"/>
    <n v="0"/>
    <n v="13676.96"/>
    <n v="-13676.96"/>
    <s v="-"/>
    <n v="27"/>
    <n v="0"/>
    <n v="0"/>
    <n v="0"/>
    <n v="0"/>
  </r>
  <r>
    <x v="29"/>
    <x v="2"/>
    <n v="30996.6"/>
    <n v="13"/>
    <n v="26626"/>
    <n v="0.67376296592559104"/>
    <n v="700"/>
    <n v="471.63407614791373"/>
    <n v="27097.634076147915"/>
    <n v="3898.9659238520835"/>
    <n v="0.12578689029932585"/>
    <n v="27"/>
    <n v="0.48148148148148145"/>
    <n v="2384.353846153846"/>
    <n v="1148.0222222222221"/>
    <n v="0.87421310970067412"/>
  </r>
  <r>
    <x v="30"/>
    <x v="0"/>
    <n v="16806.400000000001"/>
    <n v="8"/>
    <n v="27384"/>
    <n v="0.31942950328621011"/>
    <n v="2600"/>
    <n v="830.51670854414635"/>
    <n v="28214.516708544146"/>
    <n v="-11408.116708544145"/>
    <n v="-0.6787959770411357"/>
    <n v="28"/>
    <n v="0.2857142857142857"/>
    <n v="2100.8000000000002"/>
    <n v="600.22857142857151"/>
    <n v="1.6787959770411358"/>
  </r>
  <r>
    <x v="30"/>
    <x v="1"/>
    <n v="6605.4"/>
    <n v="3"/>
    <n v="15253.8"/>
    <n v="0.12554500910407534"/>
    <n v="2600"/>
    <n v="326.41702367059588"/>
    <n v="15580.217023670595"/>
    <n v="-8974.8170236705955"/>
    <n v="-1.3587090900885028"/>
    <n v="28"/>
    <n v="0.10714285714285714"/>
    <n v="2201.7999999999997"/>
    <n v="235.90714285714284"/>
    <n v="2.3587090900885026"/>
  </r>
  <r>
    <x v="30"/>
    <x v="2"/>
    <n v="29202"/>
    <n v="10"/>
    <n v="28444"/>
    <n v="0.55502548760971449"/>
    <n v="2600"/>
    <n v="1443.0662677852577"/>
    <n v="29887.066267785256"/>
    <n v="-685.06626778525606"/>
    <n v="-2.3459566734650231E-2"/>
    <n v="28"/>
    <n v="0.35714285714285715"/>
    <n v="2920.2"/>
    <n v="1042.9285714285713"/>
    <n v="1.0234595667346502"/>
  </r>
  <r>
    <x v="31"/>
    <x v="0"/>
    <n v="12008.599999999999"/>
    <n v="4"/>
    <n v="27042"/>
    <n v="0.14459064397898191"/>
    <n v="6080"/>
    <n v="879.11111539221008"/>
    <n v="27921.11111539221"/>
    <n v="-15912.511115392212"/>
    <n v="-1.325092943006863"/>
    <n v="28"/>
    <n v="0.14285714285714285"/>
    <n v="3002.1499999999996"/>
    <n v="428.87857142857138"/>
    <n v="2.325092943006863"/>
  </r>
  <r>
    <x v="31"/>
    <x v="1"/>
    <n v="28877.4"/>
    <n v="12"/>
    <n v="20108.559999999998"/>
    <n v="0.34770096950840673"/>
    <n v="6080"/>
    <n v="2114.0218946111131"/>
    <n v="22222.58189461111"/>
    <n v="6654.8181053888911"/>
    <n v="0.23045073674876862"/>
    <n v="28"/>
    <n v="0.42857142857142855"/>
    <n v="2406.4500000000003"/>
    <n v="1031.3357142857144"/>
    <n v="0.76954926325123141"/>
  </r>
  <r>
    <x v="31"/>
    <x v="2"/>
    <n v="42166.400000000009"/>
    <n v="24"/>
    <n v="29452"/>
    <n v="0.50770838651261141"/>
    <n v="6080"/>
    <n v="3086.8669899966771"/>
    <n v="32538.866989996677"/>
    <n v="9627.5330100033316"/>
    <n v="0.22832238488472645"/>
    <n v="28"/>
    <n v="0.8571428571428571"/>
    <n v="1756.9333333333336"/>
    <n v="1505.9428571428575"/>
    <n v="0.77167761511527355"/>
  </r>
  <r>
    <x v="32"/>
    <x v="0"/>
    <n v="10660"/>
    <n v="4"/>
    <n v="29762"/>
    <n v="1"/>
    <n v="4000"/>
    <n v="4000"/>
    <n v="33762"/>
    <n v="-23102"/>
    <n v="-2.1671669793621011"/>
    <n v="27"/>
    <n v="0.14814814814814814"/>
    <n v="2665"/>
    <n v="394.81481481481484"/>
    <n v="3.1671669793621011"/>
  </r>
  <r>
    <x v="32"/>
    <x v="1"/>
    <n v="0"/>
    <n v="0"/>
    <n v="14285.05"/>
    <n v="0"/>
    <n v="4000"/>
    <n v="0"/>
    <n v="14285.05"/>
    <n v="-14285.05"/>
    <s v="-"/>
    <n v="27"/>
    <n v="0"/>
    <n v="0"/>
    <n v="0"/>
    <n v="0"/>
  </r>
  <r>
    <x v="32"/>
    <x v="2"/>
    <n v="0"/>
    <n v="0"/>
    <n v="24572"/>
    <n v="0"/>
    <n v="4000"/>
    <n v="0"/>
    <n v="24572"/>
    <n v="-24572"/>
    <s v="-"/>
    <n v="27"/>
    <n v="0"/>
    <n v="0"/>
    <n v="0"/>
    <n v="0"/>
  </r>
  <r>
    <x v="33"/>
    <x v="0"/>
    <n v="17056.599999999999"/>
    <n v="6"/>
    <n v="31889"/>
    <n v="0.57904170881907613"/>
    <n v="10500"/>
    <n v="6079.9379426002997"/>
    <n v="37968.9379426003"/>
    <n v="-20912.337942600301"/>
    <n v="-1.2260554824877352"/>
    <n v="28"/>
    <n v="0.21428571428571427"/>
    <n v="2842.7666666666664"/>
    <n v="609.16428571428571"/>
    <n v="2.2260554824877352"/>
  </r>
  <r>
    <x v="33"/>
    <x v="1"/>
    <n v="0"/>
    <n v="0"/>
    <n v="16974.89"/>
    <n v="0"/>
    <n v="10500"/>
    <n v="0"/>
    <n v="16974.89"/>
    <n v="-16974.89"/>
    <s v="-"/>
    <n v="28"/>
    <n v="0"/>
    <n v="0"/>
    <n v="0"/>
    <n v="0"/>
  </r>
  <r>
    <x v="33"/>
    <x v="2"/>
    <n v="12400"/>
    <n v="10"/>
    <n v="38419"/>
    <n v="0.42095829118092382"/>
    <n v="10500"/>
    <n v="4420.0620573997003"/>
    <n v="42839.0620573997"/>
    <n v="-30439.0620573997"/>
    <n v="-2.454763069145137"/>
    <n v="28"/>
    <n v="0.35714285714285715"/>
    <n v="1240"/>
    <n v="442.85714285714283"/>
    <n v="3.454763069145137"/>
  </r>
  <r>
    <x v="34"/>
    <x v="0"/>
    <n v="21620"/>
    <n v="6"/>
    <n v="36981"/>
    <n v="0.70539716927574436"/>
    <n v="22400"/>
    <n v="15800.896591776675"/>
    <n v="52781.896591776676"/>
    <n v="-31161.896591776676"/>
    <n v="-1.4413458183060441"/>
    <n v="27"/>
    <n v="0.22222222222222221"/>
    <n v="3603.3333333333335"/>
    <n v="800.74074074074076"/>
    <n v="2.4413458183060444"/>
  </r>
  <r>
    <x v="34"/>
    <x v="1"/>
    <n v="9029.4000000000015"/>
    <n v="3"/>
    <n v="33889.410000000003"/>
    <n v="0.29460283072425564"/>
    <n v="22400"/>
    <n v="6599.1034082233264"/>
    <n v="40488.513408223327"/>
    <n v="-31459.113408223326"/>
    <n v="-3.4840757313025583"/>
    <n v="27"/>
    <n v="0.1111111111111111"/>
    <n v="3009.8000000000006"/>
    <n v="334.42222222222227"/>
    <n v="4.4840757313025588"/>
  </r>
  <r>
    <x v="34"/>
    <x v="2"/>
    <n v="0"/>
    <n v="0"/>
    <n v="26391"/>
    <n v="0"/>
    <n v="22400"/>
    <n v="0"/>
    <n v="26391"/>
    <n v="-26391"/>
    <s v="-"/>
    <n v="27"/>
    <n v="0"/>
    <n v="0"/>
    <n v="0"/>
    <n v="0"/>
  </r>
  <r>
    <x v="35"/>
    <x v="0"/>
    <n v="74203.600000000006"/>
    <n v="18"/>
    <n v="28997"/>
    <n v="0.47593196683774586"/>
    <n v="9167.869999999999"/>
    <n v="4363.2824008127645"/>
    <n v="33360.282400812765"/>
    <n v="40843.317599187241"/>
    <n v="0.55042231912181128"/>
    <n v="28"/>
    <n v="0.6428571428571429"/>
    <n v="4122.4222222222224"/>
    <n v="2650.1285714285718"/>
    <n v="0.44957768087818867"/>
  </r>
  <r>
    <x v="35"/>
    <x v="1"/>
    <n v="81708.600000000006"/>
    <n v="24"/>
    <n v="26052.94"/>
    <n v="0.52406803316225414"/>
    <n v="9167.869999999999"/>
    <n v="4804.5875991872344"/>
    <n v="30857.527599187233"/>
    <n v="50851.072400812773"/>
    <n v="0.62234663671648727"/>
    <n v="28"/>
    <n v="0.8571428571428571"/>
    <n v="3404.5250000000001"/>
    <n v="2918.1642857142861"/>
    <n v="0.37765336328351279"/>
  </r>
  <r>
    <x v="35"/>
    <x v="2"/>
    <n v="0"/>
    <n v="0"/>
    <n v="23787"/>
    <n v="0"/>
    <n v="9167.869999999999"/>
    <n v="0"/>
    <n v="23787"/>
    <n v="-23787"/>
    <s v="-"/>
    <n v="28"/>
    <n v="0"/>
    <n v="0"/>
    <n v="0"/>
    <n v="0"/>
  </r>
  <r>
    <x v="36"/>
    <x v="0"/>
    <n v="73350.799999999988"/>
    <n v="22"/>
    <n v="44300"/>
    <n v="0.3781296524647495"/>
    <n v="7310"/>
    <n v="2764.1277595173187"/>
    <n v="47064.127759517316"/>
    <n v="26286.672240482672"/>
    <n v="0.35836926441814781"/>
    <n v="28"/>
    <n v="0.7857142857142857"/>
    <n v="3334.1272727272722"/>
    <n v="2619.6714285714284"/>
    <n v="0.64163073558185224"/>
  </r>
  <r>
    <x v="36"/>
    <x v="1"/>
    <n v="13812"/>
    <n v="5"/>
    <n v="13150"/>
    <n v="7.1202042238709337E-2"/>
    <n v="7310"/>
    <n v="520.48692876496523"/>
    <n v="13670.486928764965"/>
    <n v="141.51307123503466"/>
    <n v="1.0245661108820928E-2"/>
    <n v="28"/>
    <n v="0.17857142857142858"/>
    <n v="2762.4"/>
    <n v="493.28571428571428"/>
    <n v="0.98975433889117903"/>
  </r>
  <r>
    <x v="36"/>
    <x v="2"/>
    <n v="106820.4"/>
    <n v="32"/>
    <n v="25040"/>
    <n v="0.55066830529654121"/>
    <n v="7310"/>
    <n v="4025.3853117177164"/>
    <n v="29065.385311717717"/>
    <n v="77755.014688282274"/>
    <n v="0.72790417081645709"/>
    <n v="28"/>
    <n v="1.1428571428571428"/>
    <n v="3338.1374999999998"/>
    <n v="3815.0142857142855"/>
    <n v="0.2720958291835428"/>
  </r>
  <r>
    <x v="37"/>
    <x v="0"/>
    <n v="11211"/>
    <n v="5"/>
    <n v="22127"/>
    <n v="0.17506574139427972"/>
    <n v="5840"/>
    <n v="1022.3839297425935"/>
    <n v="23149.383929742595"/>
    <n v="-11938.383929742595"/>
    <n v="-1.0648812710500932"/>
    <n v="25"/>
    <n v="0.2"/>
    <n v="2242.1999999999998"/>
    <n v="448.44"/>
    <n v="2.0648812710500932"/>
  </r>
  <r>
    <x v="37"/>
    <x v="1"/>
    <n v="28981.8"/>
    <n v="24"/>
    <n v="13500"/>
    <n v="0.45256625670687145"/>
    <n v="5840"/>
    <n v="2642.9869391681291"/>
    <n v="16142.98693916813"/>
    <n v="12838.81306083187"/>
    <n v="0.44299570974997654"/>
    <n v="25"/>
    <n v="0.96"/>
    <n v="1207.575"/>
    <n v="1159.2719999999999"/>
    <n v="0.55700429025002351"/>
  </r>
  <r>
    <x v="37"/>
    <x v="2"/>
    <n v="23846"/>
    <n v="10"/>
    <n v="30167"/>
    <n v="0.37236800189884883"/>
    <n v="5840"/>
    <n v="2174.6291310892771"/>
    <n v="32341.629131089278"/>
    <n v="-8495.6291310892775"/>
    <n v="-0.35627061692062728"/>
    <n v="25"/>
    <n v="0.4"/>
    <n v="2384.6"/>
    <n v="953.84"/>
    <n v="1.3562706169206273"/>
  </r>
  <r>
    <x v="38"/>
    <x v="0"/>
    <n v="34225.199999999997"/>
    <n v="18"/>
    <n v="31432"/>
    <n v="0.71359587670136104"/>
    <n v="5950"/>
    <n v="4245.8954663730983"/>
    <n v="35677.895466373098"/>
    <n v="-1452.6954663731012"/>
    <n v="-4.2445200214260292E-2"/>
    <n v="28"/>
    <n v="0.6428571428571429"/>
    <n v="1901.3999999999999"/>
    <n v="1222.3285714285714"/>
    <n v="1.0424452002142603"/>
  </r>
  <r>
    <x v="38"/>
    <x v="1"/>
    <n v="13736.4"/>
    <n v="6"/>
    <n v="13250"/>
    <n v="0.2864041232986389"/>
    <n v="5950"/>
    <n v="1704.1045336269015"/>
    <n v="14954.104533626902"/>
    <n v="-1217.704533626902"/>
    <n v="-8.8648010659772722E-2"/>
    <n v="28"/>
    <n v="0.21428571428571427"/>
    <n v="2289.4"/>
    <n v="490.58571428571429"/>
    <n v="1.0886480106597727"/>
  </r>
  <r>
    <x v="38"/>
    <x v="2"/>
    <n v="0"/>
    <n v="0"/>
    <n v="32682"/>
    <n v="0"/>
    <n v="5950"/>
    <n v="0"/>
    <n v="32682"/>
    <n v="-32682"/>
    <s v="-"/>
    <n v="28"/>
    <n v="0"/>
    <n v="0"/>
    <n v="0"/>
    <n v="0"/>
  </r>
  <r>
    <x v="39"/>
    <x v="0"/>
    <n v="27155.8"/>
    <n v="13"/>
    <n v="30927"/>
    <n v="0.37746481222530182"/>
    <n v="2000"/>
    <n v="754.92962445060368"/>
    <n v="31681.929624450604"/>
    <n v="-4526.1296244506048"/>
    <n v="-0.16667266751303975"/>
    <n v="27"/>
    <n v="0.48148148148148145"/>
    <n v="2088.9076923076923"/>
    <n v="1005.7703703703703"/>
    <n v="1.1666726675130397"/>
  </r>
  <r>
    <x v="39"/>
    <x v="1"/>
    <n v="13580"/>
    <n v="5"/>
    <n v="12970"/>
    <n v="0.18876159605018444"/>
    <n v="2000"/>
    <n v="377.52319210036887"/>
    <n v="13347.523192100369"/>
    <n v="232.47680789963124"/>
    <n v="1.7119058019118647E-2"/>
    <n v="27"/>
    <n v="0.18518518518518517"/>
    <n v="2716"/>
    <n v="502.96296296296299"/>
    <n v="0.98288094198088138"/>
  </r>
  <r>
    <x v="39"/>
    <x v="2"/>
    <n v="31206.800000000003"/>
    <n v="12"/>
    <n v="28492"/>
    <n v="0.43377359172451374"/>
    <n v="2000"/>
    <n v="867.54718344902744"/>
    <n v="29359.547183449027"/>
    <n v="1847.2528165509757"/>
    <n v="5.9193919804368778E-2"/>
    <n v="27"/>
    <n v="0.44444444444444442"/>
    <n v="2600.5666666666671"/>
    <n v="1155.8074074074075"/>
    <n v="0.94080608019563128"/>
  </r>
  <r>
    <x v="40"/>
    <x v="0"/>
    <n v="0"/>
    <n v="0"/>
    <n v="28702"/>
    <n v="0"/>
    <n v="4620"/>
    <n v="0"/>
    <n v="28702"/>
    <n v="-28702"/>
    <s v="-"/>
    <n v="28"/>
    <n v="0"/>
    <n v="0"/>
    <n v="0"/>
    <n v="0"/>
  </r>
  <r>
    <x v="40"/>
    <x v="1"/>
    <n v="12480"/>
    <n v="6"/>
    <n v="13520"/>
    <n v="0.48577700966883086"/>
    <n v="4620"/>
    <n v="2244.2897846699984"/>
    <n v="15764.289784669998"/>
    <n v="-3284.289784669998"/>
    <n v="-0.26316424556650625"/>
    <n v="28"/>
    <n v="0.21428571428571427"/>
    <n v="2080"/>
    <n v="445.71428571428572"/>
    <n v="1.2631642455665062"/>
  </r>
  <r>
    <x v="40"/>
    <x v="2"/>
    <n v="13210.8"/>
    <n v="6"/>
    <n v="30002"/>
    <n v="0.51422299033116914"/>
    <n v="4620"/>
    <n v="2375.7102153300016"/>
    <n v="32377.71021533"/>
    <n v="-19166.910215330001"/>
    <n v="-1.4508515922828293"/>
    <n v="28"/>
    <n v="0.21428571428571427"/>
    <n v="2201.7999999999997"/>
    <n v="471.81428571428569"/>
    <n v="2.4508515922828296"/>
  </r>
  <r>
    <x v="41"/>
    <x v="0"/>
    <n v="0"/>
    <n v="0"/>
    <n v="24816"/>
    <n v="0"/>
    <n v="6200"/>
    <n v="0"/>
    <n v="24816"/>
    <n v="-24816"/>
    <s v="-"/>
    <n v="27"/>
    <n v="0"/>
    <n v="0"/>
    <n v="0"/>
    <n v="0"/>
  </r>
  <r>
    <x v="41"/>
    <x v="1"/>
    <n v="4960.4000000000005"/>
    <n v="2"/>
    <n v="12400"/>
    <n v="1"/>
    <n v="6200"/>
    <n v="6200"/>
    <n v="18600"/>
    <n v="-13639.599999999999"/>
    <n v="-2.7496976050318516"/>
    <n v="27"/>
    <n v="7.407407407407407E-2"/>
    <n v="2480.2000000000003"/>
    <n v="183.71851851851855"/>
    <n v="3.749697605031852"/>
  </r>
  <r>
    <x v="42"/>
    <x v="0"/>
    <n v="23780"/>
    <n v="11"/>
    <n v="26184"/>
    <n v="0.84719193991991215"/>
    <n v="7200"/>
    <n v="6099.7819674233679"/>
    <n v="32283.781967423369"/>
    <n v="-8503.7819674233688"/>
    <n v="-0.35760226944589441"/>
    <n v="28"/>
    <n v="0.39285714285714285"/>
    <n v="2161.818181818182"/>
    <n v="849.28571428571433"/>
    <n v="1.3576022694458945"/>
  </r>
  <r>
    <x v="42"/>
    <x v="1"/>
    <n v="4289.2"/>
    <n v="2"/>
    <n v="11000"/>
    <n v="0.15280806008008777"/>
    <n v="7200"/>
    <n v="1100.2180325766319"/>
    <n v="12100.218032576631"/>
    <n v="-7811.0180325766314"/>
    <n v="-1.8210897212945611"/>
    <n v="28"/>
    <n v="7.1428571428571425E-2"/>
    <n v="2144.6"/>
    <n v="153.18571428571428"/>
    <n v="2.8210897212945611"/>
  </r>
  <r>
    <x v="43"/>
    <x v="0"/>
    <n v="3808.3999999999996"/>
    <n v="2"/>
    <n v="27442"/>
    <n v="1"/>
    <n v="1700"/>
    <n v="1700"/>
    <n v="29142"/>
    <n v="-25333.599999999999"/>
    <n v="-6.6520323495431155"/>
    <n v="28"/>
    <n v="7.1428571428571425E-2"/>
    <n v="1904.1999999999998"/>
    <n v="136.01428571428571"/>
    <n v="7.6520323495431155"/>
  </r>
  <r>
    <x v="43"/>
    <x v="1"/>
    <n v="0"/>
    <n v="0"/>
    <n v="11000"/>
    <n v="0"/>
    <n v="1700"/>
    <n v="0"/>
    <n v="11000"/>
    <n v="-11000"/>
    <s v="-"/>
    <n v="28"/>
    <n v="0"/>
    <n v="0"/>
    <n v="0"/>
    <n v="0"/>
  </r>
  <r>
    <x v="44"/>
    <x v="0"/>
    <n v="0"/>
    <n v="0"/>
    <n v="24662"/>
    <n v="0"/>
    <n v="5600"/>
    <n v="2800"/>
    <n v="27462"/>
    <n v="-27462"/>
    <s v="-"/>
    <n v="27"/>
    <n v="0"/>
    <n v="0"/>
    <n v="0"/>
    <n v="0"/>
  </r>
  <r>
    <x v="44"/>
    <x v="1"/>
    <n v="0"/>
    <n v="0"/>
    <n v="11600"/>
    <n v="0"/>
    <n v="5600"/>
    <n v="2800"/>
    <n v="14400"/>
    <n v="-14400"/>
    <s v="-"/>
    <n v="27"/>
    <n v="0"/>
    <n v="0"/>
    <n v="0"/>
    <n v="0"/>
  </r>
  <r>
    <x v="45"/>
    <x v="0"/>
    <n v="5400"/>
    <n v="3"/>
    <n v="24389"/>
    <n v="1"/>
    <n v="4000"/>
    <n v="4000"/>
    <n v="28389"/>
    <n v="-22989"/>
    <n v="-4.2572222222222225"/>
    <n v="28"/>
    <n v="0.10714285714285714"/>
    <n v="1800"/>
    <n v="192.85714285714286"/>
    <n v="5.2572222222222225"/>
  </r>
  <r>
    <x v="45"/>
    <x v="1"/>
    <n v="0"/>
    <n v="0"/>
    <n v="12500"/>
    <n v="0"/>
    <n v="4000"/>
    <n v="0"/>
    <n v="12500"/>
    <n v="-12500"/>
    <s v="-"/>
    <n v="28"/>
    <n v="0"/>
    <n v="0"/>
    <n v="0"/>
    <n v="0"/>
  </r>
  <r>
    <x v="46"/>
    <x v="0"/>
    <n v="48000"/>
    <n v="21"/>
    <n v="24141"/>
    <n v="1"/>
    <n v="500"/>
    <n v="500"/>
    <n v="24641"/>
    <n v="23359"/>
    <n v="0.48664583333333333"/>
    <n v="27"/>
    <n v="0.77777777777777779"/>
    <n v="2285.7142857142858"/>
    <n v="1777.7777777777778"/>
    <n v="0.51335416666666667"/>
  </r>
  <r>
    <x v="46"/>
    <x v="1"/>
    <n v="0"/>
    <n v="0"/>
    <n v="14400"/>
    <n v="0"/>
    <n v="500"/>
    <n v="0"/>
    <n v="14400"/>
    <n v="-14400"/>
    <s v="-"/>
    <n v="27"/>
    <n v="0"/>
    <n v="0"/>
    <n v="0"/>
    <n v="0"/>
  </r>
  <r>
    <x v="47"/>
    <x v="0"/>
    <n v="9100"/>
    <n v="3"/>
    <n v="26707"/>
    <n v="0.16221033868092691"/>
    <n v="21580"/>
    <n v="3500.4991087344029"/>
    <n v="30207.499108734402"/>
    <n v="-21107.499108734402"/>
    <n v="-2.3195053965642201"/>
    <n v="28"/>
    <n v="0.10714285714285714"/>
    <n v="3033.3333333333335"/>
    <n v="325"/>
    <n v="3.3195053965642201"/>
  </r>
  <r>
    <x v="47"/>
    <x v="1"/>
    <n v="47000"/>
    <n v="11"/>
    <n v="15200"/>
    <n v="0.83778966131907306"/>
    <n v="21580"/>
    <n v="18079.500891265598"/>
    <n v="33279.500891265598"/>
    <n v="13720.499108734402"/>
    <n v="0.29192551295179581"/>
    <n v="28"/>
    <n v="0.39285714285714285"/>
    <n v="4272.727272727273"/>
    <n v="1678.5714285714287"/>
    <n v="0.70807448704820419"/>
  </r>
  <r>
    <x v="48"/>
    <x v="0"/>
    <n v="53519.8"/>
    <n v="24"/>
    <n v="40258"/>
    <n v="0.46035527999889903"/>
    <n v="9950"/>
    <n v="4580.5350359890454"/>
    <n v="44838.535035989044"/>
    <n v="8681.2649640109594"/>
    <n v="0.16220660323863242"/>
    <n v="28"/>
    <n v="0.8571428571428571"/>
    <n v="2229.9916666666668"/>
    <n v="1911.4214285714286"/>
    <n v="0.83779339676136755"/>
  </r>
  <r>
    <x v="48"/>
    <x v="1"/>
    <n v="62737.8"/>
    <n v="19"/>
    <n v="18265"/>
    <n v="0.53964472000110097"/>
    <n v="9950"/>
    <n v="5369.4649640109546"/>
    <n v="23634.464964010956"/>
    <n v="39103.335035989046"/>
    <n v="0.62328189761179142"/>
    <n v="28"/>
    <n v="0.6785714285714286"/>
    <n v="3301.9894736842107"/>
    <n v="2240.6357142857146"/>
    <n v="0.37671810238820863"/>
  </r>
  <r>
    <x v="49"/>
    <x v="0"/>
    <n v="33216.400000000001"/>
    <n v="21"/>
    <n v="36757"/>
    <n v="1"/>
    <n v="20080"/>
    <n v="20080"/>
    <n v="56837"/>
    <n v="-23620.6"/>
    <n v="-0.71111258294095681"/>
    <n v="25"/>
    <n v="0.84"/>
    <n v="1581.7333333333333"/>
    <n v="1328.6559999999999"/>
    <n v="1.7111125829409568"/>
  </r>
  <r>
    <x v="49"/>
    <x v="1"/>
    <n v="0"/>
    <n v="0"/>
    <n v="14000"/>
    <n v="0"/>
    <n v="20080"/>
    <n v="0"/>
    <n v="14000"/>
    <n v="-14000"/>
    <s v="-"/>
    <n v="25"/>
    <n v="0"/>
    <n v="0"/>
    <n v="0"/>
    <n v="0"/>
  </r>
  <r>
    <x v="50"/>
    <x v="0"/>
    <n v="19460"/>
    <n v="12"/>
    <n v="43442"/>
    <n v="1"/>
    <n v="5970"/>
    <n v="5970"/>
    <n v="49412"/>
    <n v="-29952"/>
    <n v="-1.5391572456320657"/>
    <n v="28"/>
    <n v="0.42857142857142855"/>
    <n v="1621.6666666666667"/>
    <n v="695"/>
    <n v="2.5391572456320657"/>
  </r>
  <r>
    <x v="50"/>
    <x v="1"/>
    <n v="0"/>
    <n v="0"/>
    <n v="11000"/>
    <n v="0"/>
    <n v="5970"/>
    <n v="0"/>
    <n v="11000"/>
    <n v="-11000"/>
    <s v="-"/>
    <n v="28"/>
    <n v="0"/>
    <n v="0"/>
    <n v="0"/>
    <n v="0"/>
  </r>
  <r>
    <x v="51"/>
    <x v="0"/>
    <n v="44380"/>
    <n v="19"/>
    <n v="37542"/>
    <n v="1"/>
    <n v="3090"/>
    <n v="3090"/>
    <n v="40632"/>
    <n v="3748"/>
    <n v="8.4452456061288872E-2"/>
    <n v="27"/>
    <n v="0.70370370370370372"/>
    <n v="2335.7894736842104"/>
    <n v="1643.7037037037037"/>
    <n v="0.91554754393871118"/>
  </r>
  <r>
    <x v="51"/>
    <x v="1"/>
    <n v="0"/>
    <n v="0"/>
    <n v="11600"/>
    <n v="0"/>
    <n v="3090"/>
    <n v="0"/>
    <n v="11600"/>
    <n v="-11600"/>
    <s v="-"/>
    <n v="27"/>
    <n v="0"/>
    <n v="0"/>
    <n v="0"/>
    <n v="0"/>
  </r>
  <r>
    <x v="52"/>
    <x v="0"/>
    <n v="3800"/>
    <n v="2"/>
    <n v="32502"/>
    <n v="1"/>
    <n v="0"/>
    <n v="0"/>
    <n v="32502"/>
    <n v="-28702"/>
    <n v="-7.5531578947368425"/>
    <n v="28"/>
    <n v="7.1428571428571425E-2"/>
    <n v="1900"/>
    <n v="135.71428571428572"/>
    <n v="8.5531578947368416"/>
  </r>
  <r>
    <x v="52"/>
    <x v="1"/>
    <n v="0"/>
    <n v="0"/>
    <n v="13200"/>
    <n v="0"/>
    <n v="0"/>
    <n v="0"/>
    <n v="13200"/>
    <n v="-13200"/>
    <s v="-"/>
    <n v="28"/>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02B47A-CE17-D241-9C4E-139DA2ECA98B}" name="Total_Profit"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B8:B9" firstHeaderRow="1" firstDataRow="1" firstDataCol="0"/>
  <pivotFields count="19">
    <pivotField showAll="0">
      <items count="54">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0"/>
        <item h="1" x="1"/>
        <item t="default"/>
      </items>
    </pivotField>
    <pivotField showAll="0">
      <items count="5">
        <item h="1" x="0"/>
        <item x="1"/>
        <item h="1" x="2"/>
        <item h="1" m="1" x="3"/>
        <item t="default"/>
      </items>
    </pivotField>
    <pivotField numFmtId="164" showAll="0"/>
    <pivotField showAll="0"/>
    <pivotField showAll="0"/>
    <pivotField numFmtId="10" showAll="0"/>
    <pivotField numFmtId="164" showAll="0"/>
    <pivotField numFmtId="164" showAll="0"/>
    <pivotField numFmtId="164" showAll="0"/>
    <pivotField dataField="1" numFmtId="164" showAll="0"/>
    <pivotField showAll="0"/>
    <pivotField showAll="0"/>
    <pivotField numFmtId="10" showAll="0"/>
    <pivotField numFmtId="164" showAll="0"/>
    <pivotField numFmtId="164" showAll="0"/>
    <pivotField numFmtId="10" showAll="0"/>
    <pivotField showAll="0">
      <items count="6">
        <item x="4"/>
        <item x="0"/>
        <item x="1"/>
        <item x="2"/>
        <item x="3"/>
        <item t="default"/>
      </items>
    </pivotField>
    <pivotField dragToRow="0" dragToCol="0" dragToPage="0" showAll="0" defaultSubtotal="0"/>
    <pivotField dragToRow="0" dragToCol="0" dragToPage="0" showAll="0" defaultSubtotal="0"/>
  </pivotFields>
  <rowItems count="1">
    <i/>
  </rowItems>
  <colItems count="1">
    <i/>
  </colItems>
  <dataFields count="1">
    <dataField name="Total_Profit" fld="9" baseField="0" baseItem="0" numFmtId="164"/>
  </dataFields>
  <chartFormats count="3">
    <chartFormat chart="3" format="1"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542334-501C-CF4F-85D3-DC9F6DA93B5D}" name="Profit_by_Year" cacheId="7"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5" rowHeaderCaption="Year">
  <location ref="B94:C99" firstHeaderRow="1" firstDataRow="1" firstDataCol="1"/>
  <pivotFields count="19">
    <pivotField axis="axisRow" showAll="0">
      <items count="54">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0"/>
        <item x="1"/>
        <item t="default"/>
      </items>
    </pivotField>
    <pivotField showAll="0">
      <items count="5">
        <item h="1" x="0"/>
        <item x="1"/>
        <item h="1" x="2"/>
        <item h="1" m="1" x="3"/>
        <item t="default"/>
      </items>
    </pivotField>
    <pivotField numFmtId="164" showAll="0"/>
    <pivotField showAll="0"/>
    <pivotField showAll="0"/>
    <pivotField numFmtId="10" showAll="0"/>
    <pivotField numFmtId="164" showAll="0"/>
    <pivotField numFmtId="164" showAll="0"/>
    <pivotField numFmtId="164" showAll="0"/>
    <pivotField dataField="1" numFmtId="164" showAll="0"/>
    <pivotField showAll="0"/>
    <pivotField showAll="0"/>
    <pivotField numFmtId="10" showAll="0"/>
    <pivotField numFmtId="164" showAll="0"/>
    <pivotField numFmtId="164" showAll="0"/>
    <pivotField numFmtId="10" showAll="0"/>
    <pivotField axis="axisRow" showAll="0">
      <items count="6">
        <item n="2022" sd="0" x="4"/>
        <item n="2023" sd="0" x="0"/>
        <item n="2024" sd="0" x="1"/>
        <item n="2025" sd="0" x="2"/>
        <item n="2026" sd="0" x="3"/>
        <item t="default"/>
      </items>
    </pivotField>
    <pivotField dragToRow="0" dragToCol="0" dragToPage="0" showAll="0" defaultSubtotal="0"/>
    <pivotField dragToRow="0" dragToCol="0" dragToPage="0" showAll="0" defaultSubtotal="0"/>
  </pivotFields>
  <rowFields count="2">
    <field x="16"/>
    <field x="0"/>
  </rowFields>
  <rowItems count="5">
    <i>
      <x/>
    </i>
    <i>
      <x v="1"/>
    </i>
    <i>
      <x v="2"/>
    </i>
    <i>
      <x v="3"/>
    </i>
    <i>
      <x v="4"/>
    </i>
  </rowItems>
  <colItems count="1">
    <i/>
  </colItems>
  <dataFields count="1">
    <dataField name="Total_Profit" fld="9"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76FD10-A6F0-1648-9C56-DC64DC79F820}" name="Avg_Occupancy_Rate"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52:B53" firstHeaderRow="1" firstDataRow="1" firstDataCol="0"/>
  <pivotFields count="19">
    <pivotField showAll="0">
      <items count="54">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0"/>
        <item h="1" x="1"/>
        <item t="default"/>
      </items>
    </pivotField>
    <pivotField showAll="0">
      <items count="5">
        <item h="1" x="0"/>
        <item x="1"/>
        <item h="1" x="2"/>
        <item h="1" m="1" x="3"/>
        <item t="default"/>
      </items>
    </pivotField>
    <pivotField numFmtId="164" showAll="0"/>
    <pivotField showAll="0"/>
    <pivotField showAll="0"/>
    <pivotField numFmtId="10" showAll="0"/>
    <pivotField numFmtId="164" showAll="0"/>
    <pivotField numFmtId="164" showAll="0"/>
    <pivotField numFmtId="164" showAll="0"/>
    <pivotField numFmtId="164" showAll="0"/>
    <pivotField showAll="0"/>
    <pivotField showAll="0"/>
    <pivotField dataField="1" numFmtId="10" showAll="0"/>
    <pivotField numFmtId="164" showAll="0"/>
    <pivotField numFmtId="164" showAll="0"/>
    <pivotField numFmtId="10" showAll="0"/>
    <pivotField showAll="0" defaultSubtotal="0">
      <items count="5">
        <item x="4"/>
        <item x="0"/>
        <item x="1"/>
        <item x="2"/>
        <item x="3"/>
      </items>
    </pivotField>
    <pivotField dragToRow="0" dragToCol="0" dragToPage="0" showAll="0" defaultSubtotal="0"/>
    <pivotField dragToRow="0" dragToCol="0" dragToPage="0" showAll="0" defaultSubtotal="0"/>
  </pivotFields>
  <rowItems count="1">
    <i/>
  </rowItems>
  <colItems count="1">
    <i/>
  </colItems>
  <dataFields count="1">
    <dataField name="Avg_Occupancy_Rate" fld="12" subtotal="average" baseField="0" baseItem="0" numFmtId="10"/>
  </dataField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9130D8-C9D3-D649-976F-429C1BBA72D8}" name="Avg_ADR"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B72:B73" firstHeaderRow="1" firstDataRow="1" firstDataCol="0"/>
  <pivotFields count="19">
    <pivotField showAll="0">
      <items count="54">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0"/>
        <item h="1" x="1"/>
        <item t="default"/>
      </items>
    </pivotField>
    <pivotField showAll="0">
      <items count="5">
        <item h="1" x="0"/>
        <item x="1"/>
        <item h="1" x="2"/>
        <item h="1" m="1" x="3"/>
        <item t="default"/>
      </items>
    </pivotField>
    <pivotField numFmtId="164" showAll="0"/>
    <pivotField showAll="0"/>
    <pivotField showAll="0"/>
    <pivotField numFmtId="10" showAll="0"/>
    <pivotField numFmtId="164" showAll="0"/>
    <pivotField numFmtId="164" showAll="0"/>
    <pivotField numFmtId="164" showAll="0"/>
    <pivotField numFmtId="164" showAll="0"/>
    <pivotField showAll="0"/>
    <pivotField showAll="0"/>
    <pivotField numFmtId="10" showAll="0"/>
    <pivotField dataField="1" numFmtId="164" showAll="0"/>
    <pivotField numFmtId="164" showAll="0"/>
    <pivotField numFmtId="10" showAll="0"/>
    <pivotField showAll="0" defaultSubtotal="0">
      <items count="5">
        <item x="4"/>
        <item x="0"/>
        <item x="1"/>
        <item x="2"/>
        <item x="3"/>
      </items>
    </pivotField>
    <pivotField dragToRow="0" dragToCol="0" dragToPage="0" showAll="0" defaultSubtotal="0"/>
    <pivotField dragToRow="0" dragToCol="0" dragToPage="0" showAll="0" defaultSubtotal="0"/>
  </pivotFields>
  <rowItems count="1">
    <i/>
  </rowItems>
  <colItems count="1">
    <i/>
  </colItems>
  <dataFields count="1">
    <dataField name="Avg_ADR" fld="13" subtotal="average"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C6C31D-D973-8643-971B-9961E67DB4B9}" name="Income_by_Platform" cacheId="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rowHeaderCaption="Year" colHeaderCaption="Rental_Platform">
  <location ref="B137:J143" firstHeaderRow="1" firstDataRow="2" firstDataCol="1"/>
  <pivotFields count="15">
    <pivotField showAll="0">
      <items count="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showAll="0"/>
    <pivotField showAll="0"/>
    <pivotField showAll="0"/>
    <pivotField showAll="0"/>
    <pivotField showAll="0"/>
    <pivotField dataField="1" showAll="0"/>
    <pivotField showAll="0"/>
    <pivotField axis="axisCol" showAll="0">
      <items count="10">
        <item x="0"/>
        <item x="1"/>
        <item x="3"/>
        <item x="2"/>
        <item x="5"/>
        <item x="4"/>
        <item x="7"/>
        <item x="6"/>
        <item x="8"/>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22">
        <item n="2022" x="20"/>
        <item n="2023" sd="0" x="18"/>
        <item sd="0" x="0"/>
        <item n="2025" x="19"/>
        <item sd="0" x="1"/>
        <item x="2"/>
        <item x="3"/>
        <item x="4"/>
        <item x="5"/>
        <item x="6"/>
        <item x="7"/>
        <item x="8"/>
        <item x="9"/>
        <item x="10"/>
        <item x="11"/>
        <item x="12"/>
        <item x="13"/>
        <item x="14"/>
        <item x="15"/>
        <item x="16"/>
        <item x="17"/>
        <item t="default"/>
      </items>
    </pivotField>
    <pivotField showAll="0">
      <items count="21">
        <item n="2022" sd="0" x="6"/>
        <item n="2023" sd="0" x="7"/>
        <item x="19"/>
        <item x="8"/>
        <item x="9"/>
        <item x="10"/>
        <item x="11"/>
        <item x="12"/>
        <item x="13"/>
        <item x="14"/>
        <item x="15"/>
        <item x="16"/>
        <item x="17"/>
        <item x="18"/>
        <item x="0"/>
        <item x="1"/>
        <item x="2"/>
        <item x="3"/>
        <item x="4"/>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sd="0" x="6"/>
        <item t="default"/>
      </items>
    </pivotField>
  </pivotFields>
  <rowFields count="1">
    <field x="14"/>
  </rowFields>
  <rowItems count="5">
    <i>
      <x v="1"/>
    </i>
    <i>
      <x v="2"/>
    </i>
    <i>
      <x v="3"/>
    </i>
    <i>
      <x v="4"/>
    </i>
    <i>
      <x v="5"/>
    </i>
  </rowItems>
  <colFields count="1">
    <field x="8"/>
  </colFields>
  <colItems count="8">
    <i>
      <x/>
    </i>
    <i>
      <x v="1"/>
    </i>
    <i>
      <x v="2"/>
    </i>
    <i>
      <x v="3"/>
    </i>
    <i>
      <x v="4"/>
    </i>
    <i>
      <x v="5"/>
    </i>
    <i>
      <x v="6"/>
    </i>
    <i>
      <x v="7"/>
    </i>
  </colItems>
  <dataFields count="1">
    <dataField name="Income" fld="6" baseField="0" baseItem="0" numFmtId="164"/>
  </dataFields>
  <chartFormats count="26">
    <chartFormat chart="3" format="15" series="1">
      <pivotArea type="data" outline="0" fieldPosition="0">
        <references count="1">
          <reference field="4294967294" count="1" selected="0">
            <x v="0"/>
          </reference>
        </references>
      </pivotArea>
    </chartFormat>
    <chartFormat chart="3" format="16" series="1">
      <pivotArea type="data" outline="0" fieldPosition="0">
        <references count="2">
          <reference field="4294967294" count="1" selected="0">
            <x v="0"/>
          </reference>
          <reference field="8" count="1" selected="0">
            <x v="1"/>
          </reference>
        </references>
      </pivotArea>
    </chartFormat>
    <chartFormat chart="3" format="17" series="1">
      <pivotArea type="data" outline="0" fieldPosition="0">
        <references count="2">
          <reference field="4294967294" count="1" selected="0">
            <x v="0"/>
          </reference>
          <reference field="8" count="1" selected="0">
            <x v="2"/>
          </reference>
        </references>
      </pivotArea>
    </chartFormat>
    <chartFormat chart="3" format="18" series="1">
      <pivotArea type="data" outline="0" fieldPosition="0">
        <references count="2">
          <reference field="4294967294" count="1" selected="0">
            <x v="0"/>
          </reference>
          <reference field="8" count="1" selected="0">
            <x v="3"/>
          </reference>
        </references>
      </pivotArea>
    </chartFormat>
    <chartFormat chart="3" format="19" series="1">
      <pivotArea type="data" outline="0" fieldPosition="0">
        <references count="2">
          <reference field="4294967294" count="1" selected="0">
            <x v="0"/>
          </reference>
          <reference field="8" count="1" selected="0">
            <x v="4"/>
          </reference>
        </references>
      </pivotArea>
    </chartFormat>
    <chartFormat chart="3" format="20" series="1">
      <pivotArea type="data" outline="0" fieldPosition="0">
        <references count="2">
          <reference field="4294967294" count="1" selected="0">
            <x v="0"/>
          </reference>
          <reference field="8" count="1" selected="0">
            <x v="5"/>
          </reference>
        </references>
      </pivotArea>
    </chartFormat>
    <chartFormat chart="3" format="21" series="1">
      <pivotArea type="data" outline="0" fieldPosition="0">
        <references count="2">
          <reference field="4294967294" count="1" selected="0">
            <x v="0"/>
          </reference>
          <reference field="8" count="1" selected="0">
            <x v="6"/>
          </reference>
        </references>
      </pivotArea>
    </chartFormat>
    <chartFormat chart="3" format="22" series="1">
      <pivotArea type="data" outline="0" fieldPosition="0">
        <references count="2">
          <reference field="4294967294" count="1" selected="0">
            <x v="0"/>
          </reference>
          <reference field="8" count="1" selected="0">
            <x v="7"/>
          </reference>
        </references>
      </pivotArea>
    </chartFormat>
    <chartFormat chart="6" format="0" series="1">
      <pivotArea type="data" outline="0" fieldPosition="0">
        <references count="2">
          <reference field="4294967294" count="1" selected="0">
            <x v="0"/>
          </reference>
          <reference field="8" count="1" selected="0">
            <x v="0"/>
          </reference>
        </references>
      </pivotArea>
    </chartFormat>
    <chartFormat chart="6" format="1" series="1">
      <pivotArea type="data" outline="0" fieldPosition="0">
        <references count="2">
          <reference field="4294967294" count="1" selected="0">
            <x v="0"/>
          </reference>
          <reference field="8" count="1" selected="0">
            <x v="1"/>
          </reference>
        </references>
      </pivotArea>
    </chartFormat>
    <chartFormat chart="6" format="2" series="1">
      <pivotArea type="data" outline="0" fieldPosition="0">
        <references count="2">
          <reference field="4294967294" count="1" selected="0">
            <x v="0"/>
          </reference>
          <reference field="8" count="1" selected="0">
            <x v="2"/>
          </reference>
        </references>
      </pivotArea>
    </chartFormat>
    <chartFormat chart="6" format="3" series="1">
      <pivotArea type="data" outline="0" fieldPosition="0">
        <references count="2">
          <reference field="4294967294" count="1" selected="0">
            <x v="0"/>
          </reference>
          <reference field="8" count="1" selected="0">
            <x v="3"/>
          </reference>
        </references>
      </pivotArea>
    </chartFormat>
    <chartFormat chart="6" format="4" series="1">
      <pivotArea type="data" outline="0" fieldPosition="0">
        <references count="2">
          <reference field="4294967294" count="1" selected="0">
            <x v="0"/>
          </reference>
          <reference field="8" count="1" selected="0">
            <x v="4"/>
          </reference>
        </references>
      </pivotArea>
    </chartFormat>
    <chartFormat chart="6" format="5" series="1">
      <pivotArea type="data" outline="0" fieldPosition="0">
        <references count="2">
          <reference field="4294967294" count="1" selected="0">
            <x v="0"/>
          </reference>
          <reference field="8" count="1" selected="0">
            <x v="5"/>
          </reference>
        </references>
      </pivotArea>
    </chartFormat>
    <chartFormat chart="6" format="6" series="1">
      <pivotArea type="data" outline="0" fieldPosition="0">
        <references count="2">
          <reference field="4294967294" count="1" selected="0">
            <x v="0"/>
          </reference>
          <reference field="8" count="1" selected="0">
            <x v="6"/>
          </reference>
        </references>
      </pivotArea>
    </chartFormat>
    <chartFormat chart="6" format="7" series="1">
      <pivotArea type="data" outline="0" fieldPosition="0">
        <references count="2">
          <reference field="4294967294" count="1" selected="0">
            <x v="0"/>
          </reference>
          <reference field="8" count="1" selected="0">
            <x v="7"/>
          </reference>
        </references>
      </pivotArea>
    </chartFormat>
    <chartFormat chart="7" format="8" series="1">
      <pivotArea type="data" outline="0" fieldPosition="0">
        <references count="2">
          <reference field="4294967294" count="1" selected="0">
            <x v="0"/>
          </reference>
          <reference field="8" count="1" selected="0">
            <x v="0"/>
          </reference>
        </references>
      </pivotArea>
    </chartFormat>
    <chartFormat chart="7" format="9" series="1">
      <pivotArea type="data" outline="0" fieldPosition="0">
        <references count="2">
          <reference field="4294967294" count="1" selected="0">
            <x v="0"/>
          </reference>
          <reference field="8" count="1" selected="0">
            <x v="1"/>
          </reference>
        </references>
      </pivotArea>
    </chartFormat>
    <chartFormat chart="7" format="10" series="1">
      <pivotArea type="data" outline="0" fieldPosition="0">
        <references count="2">
          <reference field="4294967294" count="1" selected="0">
            <x v="0"/>
          </reference>
          <reference field="8" count="1" selected="0">
            <x v="2"/>
          </reference>
        </references>
      </pivotArea>
    </chartFormat>
    <chartFormat chart="7" format="11" series="1">
      <pivotArea type="data" outline="0" fieldPosition="0">
        <references count="2">
          <reference field="4294967294" count="1" selected="0">
            <x v="0"/>
          </reference>
          <reference field="8" count="1" selected="0">
            <x v="3"/>
          </reference>
        </references>
      </pivotArea>
    </chartFormat>
    <chartFormat chart="7" format="12" series="1">
      <pivotArea type="data" outline="0" fieldPosition="0">
        <references count="2">
          <reference field="4294967294" count="1" selected="0">
            <x v="0"/>
          </reference>
          <reference field="8" count="1" selected="0">
            <x v="4"/>
          </reference>
        </references>
      </pivotArea>
    </chartFormat>
    <chartFormat chart="7" format="13" series="1">
      <pivotArea type="data" outline="0" fieldPosition="0">
        <references count="2">
          <reference field="4294967294" count="1" selected="0">
            <x v="0"/>
          </reference>
          <reference field="8" count="1" selected="0">
            <x v="5"/>
          </reference>
        </references>
      </pivotArea>
    </chartFormat>
    <chartFormat chart="7" format="14" series="1">
      <pivotArea type="data" outline="0" fieldPosition="0">
        <references count="2">
          <reference field="4294967294" count="1" selected="0">
            <x v="0"/>
          </reference>
          <reference field="8" count="1" selected="0">
            <x v="6"/>
          </reference>
        </references>
      </pivotArea>
    </chartFormat>
    <chartFormat chart="7" format="15" series="1">
      <pivotArea type="data" outline="0" fieldPosition="0">
        <references count="2">
          <reference field="4294967294" count="1" selected="0">
            <x v="0"/>
          </reference>
          <reference field="8" count="1" selected="0">
            <x v="7"/>
          </reference>
        </references>
      </pivotArea>
    </chartFormat>
    <chartFormat chart="3" format="23" series="1">
      <pivotArea type="data" outline="0" fieldPosition="0">
        <references count="2">
          <reference field="4294967294" count="1" selected="0">
            <x v="0"/>
          </reference>
          <reference field="8" count="1" selected="0">
            <x v="0"/>
          </reference>
        </references>
      </pivotArea>
    </chartFormat>
    <chartFormat chart="3" format="24">
      <pivotArea type="data" outline="0" fieldPosition="0">
        <references count="3">
          <reference field="4294967294" count="1" selected="0">
            <x v="0"/>
          </reference>
          <reference field="8" count="1" selected="0">
            <x v="2"/>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99C8C8-F7BE-994C-8F1E-DAC8CBC00D4E}" name="Occupancy_by_Year" cacheId="7"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5" rowHeaderCaption="Year">
  <location ref="B118:C123" firstHeaderRow="1" firstDataRow="1" firstDataCol="1"/>
  <pivotFields count="19">
    <pivotField axis="axisRow" showAll="0">
      <items count="54">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0"/>
        <item x="1"/>
        <item t="default"/>
      </items>
    </pivotField>
    <pivotField showAll="0">
      <items count="5">
        <item h="1" x="0"/>
        <item x="1"/>
        <item h="1" x="2"/>
        <item h="1" m="1" x="3"/>
        <item t="default"/>
      </items>
    </pivotField>
    <pivotField numFmtId="164" showAll="0"/>
    <pivotField showAll="0"/>
    <pivotField showAll="0"/>
    <pivotField numFmtId="10" showAll="0"/>
    <pivotField numFmtId="164" showAll="0"/>
    <pivotField numFmtId="164" showAll="0"/>
    <pivotField numFmtId="164" showAll="0"/>
    <pivotField numFmtId="164" showAll="0"/>
    <pivotField showAll="0"/>
    <pivotField showAll="0"/>
    <pivotField dataField="1" numFmtId="10" showAll="0"/>
    <pivotField numFmtId="164" showAll="0"/>
    <pivotField numFmtId="164" showAll="0"/>
    <pivotField numFmtId="10" showAll="0"/>
    <pivotField axis="axisRow" showAll="0" sortType="ascending">
      <items count="6">
        <item n="2022" sd="0" x="4"/>
        <item n="2023" sd="0" x="0"/>
        <item n="2024" sd="0" x="1"/>
        <item n="2025" sd="0" x="2"/>
        <item n="2026" sd="0" x="3"/>
        <item t="default"/>
      </items>
    </pivotField>
    <pivotField dragToRow="0" dragToCol="0" dragToPage="0" showAll="0" defaultSubtotal="0"/>
    <pivotField dragToRow="0" dragToCol="0" dragToPage="0" showAll="0" defaultSubtotal="0"/>
  </pivotFields>
  <rowFields count="2">
    <field x="16"/>
    <field x="0"/>
  </rowFields>
  <rowItems count="5">
    <i>
      <x/>
    </i>
    <i>
      <x v="1"/>
    </i>
    <i>
      <x v="2"/>
    </i>
    <i>
      <x v="3"/>
    </i>
    <i>
      <x v="4"/>
    </i>
  </rowItems>
  <colItems count="1">
    <i/>
  </colItems>
  <dataFields count="1">
    <dataField name="Avg_Occupancy_Rate " fld="12" subtotal="average"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93164A-2269-EF48-A091-727001BBA4D3}" name="Margin_Total%"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30:B31" firstHeaderRow="1" firstDataRow="1" firstDataCol="0"/>
  <pivotFields count="19">
    <pivotField showAll="0">
      <items count="54">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0"/>
        <item h="1" x="1"/>
        <item t="default"/>
      </items>
    </pivotField>
    <pivotField showAll="0">
      <items count="5">
        <item h="1" x="0"/>
        <item x="1"/>
        <item h="1" x="2"/>
        <item h="1" m="1" x="3"/>
        <item t="default"/>
      </items>
    </pivotField>
    <pivotField numFmtId="164" showAll="0"/>
    <pivotField showAll="0"/>
    <pivotField showAll="0"/>
    <pivotField numFmtId="10" showAll="0"/>
    <pivotField numFmtId="164" showAll="0"/>
    <pivotField numFmtId="164" showAll="0"/>
    <pivotField numFmtId="164" showAll="0"/>
    <pivotField numFmtId="164" showAll="0"/>
    <pivotField showAll="0"/>
    <pivotField showAll="0"/>
    <pivotField numFmtId="10" showAll="0"/>
    <pivotField numFmtId="164" showAll="0"/>
    <pivotField numFmtId="164" showAll="0"/>
    <pivotField numFmtId="10" showAll="0"/>
    <pivotField showAll="0">
      <items count="6">
        <item x="4"/>
        <item x="0"/>
        <item x="1"/>
        <item x="2"/>
        <item x="3"/>
        <item t="default"/>
      </items>
    </pivotField>
    <pivotField dataField="1" dragToRow="0" dragToCol="0" dragToPage="0" showAll="0" defaultSubtotal="0"/>
    <pivotField dragToRow="0" dragToCol="0" dragToPage="0" showAll="0" defaultSubtotal="0"/>
  </pivotFields>
  <rowItems count="1">
    <i/>
  </rowItems>
  <colItems count="1">
    <i/>
  </colItems>
  <dataFields count="1">
    <dataField name="Sum of Total_Margin %" fld="17" baseField="0" baseItem="0" numFmtId="1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536BBD-517B-534B-AF7D-E674305FDD01}" name="Apt_Comparison" cacheId="5"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Apt">
  <location ref="J190:N193" firstHeaderRow="0" firstDataRow="1" firstDataCol="1"/>
  <pivotFields count="16">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axis="axisRow" showAll="0">
      <items count="5">
        <item x="0"/>
        <item x="1"/>
        <item x="2"/>
        <item h="1" x="3"/>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dataField="1" showAll="0"/>
    <pivotField dataField="1" showAll="0"/>
    <pivotField showAll="0"/>
  </pivotFields>
  <rowFields count="1">
    <field x="1"/>
  </rowFields>
  <rowItems count="3">
    <i>
      <x/>
    </i>
    <i>
      <x v="1"/>
    </i>
    <i>
      <x v="2"/>
    </i>
  </rowItems>
  <colFields count="1">
    <field x="-2"/>
  </colFields>
  <colItems count="4">
    <i>
      <x/>
    </i>
    <i i="1">
      <x v="1"/>
    </i>
    <i i="2">
      <x v="2"/>
    </i>
    <i i="3">
      <x v="3"/>
    </i>
  </colItems>
  <dataFields count="4">
    <dataField name="Profit_Total" fld="9" baseField="0" baseItem="0" numFmtId="164"/>
    <dataField name="Avg_Occupancy_Rate" fld="12" subtotal="average" baseField="0" baseItem="0" numFmtId="10"/>
    <dataField name="Avg_ADR" fld="13" subtotal="average" baseField="0" baseItem="0" numFmtId="164"/>
    <dataField name="Avg_RevPAN" fld="14"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t" xr10:uid="{60E9ED57-1300-FE46-AC1A-7B8B1A9FEA10}" sourceName="Apt">
  <pivotTables>
    <pivotTable tabId="5" name="Avg_ADR"/>
    <pivotTable tabId="5" name="Margin_Total%"/>
    <pivotTable tabId="5" name="Total_Profit"/>
    <pivotTable tabId="5" name="Avg_Occupancy_Rate"/>
    <pivotTable tabId="5" name="Occupancy_by_Year"/>
    <pivotTable tabId="5" name="Profit_by_Year"/>
  </pivotTables>
  <data>
    <tabular pivotCacheId="1194717189" crossFilter="none">
      <items count="4">
        <i x="0"/>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t" xr10:uid="{1E66B20D-00B6-B34A-AF1D-C131B033605E}" cache="Slicer_Apt" caption="Apt" style="NewStyle1"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F1EF91-3576-3D45-8D6A-7B9A7388A71B}" name="Table1" displayName="Table1" ref="A1:J303" totalsRowShown="0" headerRowDxfId="37" dataDxfId="36">
  <autoFilter ref="A1:J303" xr:uid="{9DF1EF91-3576-3D45-8D6A-7B9A7388A71B}"/>
  <sortState xmlns:xlrd2="http://schemas.microsoft.com/office/spreadsheetml/2017/richdata2" ref="A2:J303">
    <sortCondition ref="A1:A303"/>
  </sortState>
  <tableColumns count="10">
    <tableColumn id="1" xr3:uid="{3B081B9B-2617-334F-B4A8-53B1039B1522}" name="Check-in Date" dataDxfId="35"/>
    <tableColumn id="2" xr3:uid="{6DDA64B9-D562-3647-A310-70EFA771F514}" name="Check-out Date" dataDxfId="34"/>
    <tableColumn id="11" xr3:uid="{3564781C-BE29-F746-B62F-D92979C62B86}" name="Num_Nights" dataDxfId="33">
      <calculatedColumnFormula>Table1[[#This Row],[Check-out Date]]-Table1[[#This Row],[Check-in Date]]</calculatedColumnFormula>
    </tableColumn>
    <tableColumn id="3" xr3:uid="{C31A3E22-1C58-5241-A33F-834FC30A5753}" name="APARTMENT" dataDxfId="32"/>
    <tableColumn id="4" xr3:uid="{4B3916B6-03A7-804E-9D84-6F4B58C87EDE}" name="NAME" dataDxfId="31"/>
    <tableColumn id="5" xr3:uid="{4DC9A45D-5D2A-3446-A8B0-58B7B532F783}" name="FULL AMOUNT usd" dataDxfId="30"/>
    <tableColumn id="8" xr3:uid="{DCE2E4F4-C690-0342-B699-B59B9F56D2D9}" name="FULL AMOUNT mxn pesos" dataDxfId="29"/>
    <tableColumn id="6" xr3:uid="{CF921C67-BBA4-844B-A028-329572D997B2}" name="20% commission" dataDxfId="28">
      <calculatedColumnFormula>F2*0.2</calculatedColumnFormula>
    </tableColumn>
    <tableColumn id="7" xr3:uid="{59DC9072-4F97-254A-99C5-862493AC068A}" name="RENTAL PLATFORM" dataDxfId="27"/>
    <tableColumn id="9" xr3:uid="{7AF09E11-D612-2845-80C4-87349C4C18D3}" name="Month" dataDxfId="26">
      <calculatedColumnFormula>YEAR(A2)&amp;"-"&amp;TEXT(MONTH(A2),"00")</calculatedColumnFormula>
    </tableColumn>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42146A-932E-C947-B40E-100EEBE7B3F7}" name="Expenses" displayName="Expenses" ref="A1:F1561" totalsRowShown="0" headerRowDxfId="25">
  <autoFilter ref="A1:F1561" xr:uid="{F5DE00CD-1259-5645-98B8-3C4A73A7DCBB}"/>
  <sortState xmlns:xlrd2="http://schemas.microsoft.com/office/spreadsheetml/2017/richdata2" ref="A2:F1561">
    <sortCondition ref="A1:A1561"/>
  </sortState>
  <tableColumns count="6">
    <tableColumn id="1" xr3:uid="{6AE9DBD1-45F9-0A42-96DB-6C9D8FDD0CC9}" name="DATE" dataDxfId="24"/>
    <tableColumn id="2" xr3:uid="{2788F5AF-2917-1E4B-94E1-53B0A2254D7E}" name="SERVICE" dataDxfId="23"/>
    <tableColumn id="3" xr3:uid="{B498C977-8ECC-6941-B95A-E13B87B36DA5}" name="APT" dataDxfId="22"/>
    <tableColumn id="4" xr3:uid="{8707E957-7D63-FB45-8FF9-74DEBEBDCCB9}" name="COST $" dataDxfId="21"/>
    <tableColumn id="5" xr3:uid="{A782AE08-FDF5-994B-AF9D-8178B3F8F311}" name="TYPE">
      <calculatedColumnFormula>IF(OR(C2="A302", C2="B303", C2="C301"), "Direct", "Shared")</calculatedColumnFormula>
    </tableColumn>
    <tableColumn id="6" xr3:uid="{6AF74391-025E-E44D-965C-B943CA7EC8A6}" name="MONTH" dataDxfId="20">
      <calculatedColumnFormula>YEAR(A2)&amp;"-"&amp;TEXT(MONTH(A2),"00")</calculatedColumnFormula>
    </tableColumn>
  </tableColumns>
  <tableStyleInfo name="TableStyleLight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686E3D-9779-8A4A-8A93-9B3D5769664C}" name="Reference_Nights" displayName="Reference_Nights" ref="A1:E1048576" totalsRowShown="0">
  <autoFilter ref="A1:E1048576" xr:uid="{17686E3D-9779-8A4A-8A93-9B3D5769664C}"/>
  <sortState xmlns:xlrd2="http://schemas.microsoft.com/office/spreadsheetml/2017/richdata2" ref="A2:E154">
    <sortCondition ref="A1:A1048576"/>
  </sortState>
  <tableColumns count="5">
    <tableColumn id="1" xr3:uid="{D1AC7C35-AF50-3B45-9369-BFA85BB9DA7A}" name="Month"/>
    <tableColumn id="2" xr3:uid="{7CAB3176-13AF-9E4D-B59A-1D86318F2C31}" name="Apt"/>
    <tableColumn id="3" xr3:uid="{4BE61810-7273-B840-935A-8EEA84085BF9}" name="Days_in_month"/>
    <tableColumn id="4" xr3:uid="{2D5CF1EF-BEF7-7A42-9D3C-9871D49EB718}" name="Unavailable_days"/>
    <tableColumn id="5" xr3:uid="{9A22B41D-E3EF-E04A-9DAD-1A4D0B70DCB6}" name="Available_nights"/>
  </tableColumns>
  <tableStyleInfo name="TableStyleLight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C5EFEB-B2FA-DA48-B4E5-D3D7AA22B611}" name="Table2" displayName="Table2" ref="A1:P143" totalsRowShown="0" headerRowDxfId="19">
  <autoFilter ref="A1:P143" xr:uid="{0AC5EFEB-B2FA-DA48-B4E5-D3D7AA22B611}"/>
  <tableColumns count="16">
    <tableColumn id="1" xr3:uid="{4F5917FA-5591-2A42-A38D-90FE1594B378}" name="Month" dataDxfId="18"/>
    <tableColumn id="2" xr3:uid="{714E25C0-13DE-B347-8BD3-A2E3C649EAE7}" name="Apt"/>
    <tableColumn id="3" xr3:uid="{761B6749-9367-0C41-B9CA-DBF79BA51180}" name="Income" dataDxfId="17">
      <calculatedColumnFormula>SUMIFS(Table1[FULL AMOUNT mxn pesos], Table1[Month], A2, Table1[APARTMENT], B2)</calculatedColumnFormula>
    </tableColumn>
    <tableColumn id="11" xr3:uid="{108E4CFB-5358-2D40-98F5-69409DFC7755}" name="Booked_Nights" dataDxfId="16">
      <calculatedColumnFormula>SUMIFS(INCOME!C:C, INCOME!D:D, Table2[[#This Row],[Apt]], INCOME!J:J, Table2[[#This Row],[Month]])</calculatedColumnFormula>
    </tableColumn>
    <tableColumn id="4" xr3:uid="{E6C8E62E-57A9-984B-9C02-236E9C467E30}" name="Exp_Direct" dataDxfId="15">
      <calculatedColumnFormula>SUMIFS(EXPENSES!D:D, EXPENSES!F:F, Data_Consolidado!A2, EXPENSES!C:C, Data_Consolidado!B2, EXPENSES!E:E, "Direct")</calculatedColumnFormula>
    </tableColumn>
    <tableColumn id="5" xr3:uid="{B0AA5078-5F9A-7948-BE02-827EE5A118D4}" name="Pct_Income" dataDxfId="14">
      <calculatedColumnFormula>IF(C2=0,0,C2/SUMIF(A:A,A2,C:C))</calculatedColumnFormula>
    </tableColumn>
    <tableColumn id="6" xr3:uid="{04FFBF4A-371B-BE47-92B6-F9CE0E41E5DB}" name="Shared_Total" dataDxfId="13">
      <calculatedColumnFormula>SUMIFS(EXPENSES!D:D, EXPENSES!F:F, Data_Consolidado!A2, EXPENSES!E:E, "Shared")</calculatedColumnFormula>
    </tableColumn>
    <tableColumn id="7" xr3:uid="{A21FEA9E-5009-C14B-B552-1D5CC5CFDC78}" name="Shared_Assigned" dataDxfId="12">
      <calculatedColumnFormula>G2*F2</calculatedColumnFormula>
    </tableColumn>
    <tableColumn id="8" xr3:uid="{A5CE9130-E66C-1144-8682-1D37BAF58FF6}" name="Total_Exp" dataDxfId="11">
      <calculatedColumnFormula>E2+H2</calculatedColumnFormula>
    </tableColumn>
    <tableColumn id="9" xr3:uid="{B7F9354D-CED2-364D-A3B3-F480F5E29C78}" name="Profit_or_Loss" dataDxfId="10">
      <calculatedColumnFormula>C2-I2</calculatedColumnFormula>
    </tableColumn>
    <tableColumn id="10" xr3:uid="{7B372C82-6F06-E249-A812-8845B2CC728B}" name="Margin%" dataDxfId="9">
      <calculatedColumnFormula>IF(C2=0, "-", (J2/C2))</calculatedColumnFormula>
    </tableColumn>
    <tableColumn id="12" xr3:uid="{6716DE66-E5C0-BA48-9039-05A847F09B05}" name="Available _Nights" dataDxfId="8">
      <calculatedColumnFormula>SUMIFS(Reference_Nights[[#All],[Available_nights]], Reference_Nights[[#All],[Month]], Table2[[#This Row],[Month]], Reference_Nights[[#All],[Apt]], Table2[[#This Row],[Apt]])</calculatedColumnFormula>
    </tableColumn>
    <tableColumn id="13" xr3:uid="{4ECA1449-0393-854A-9A4D-9A0EFF13DE39}" name="Occupancy_Rate" dataDxfId="7"/>
    <tableColumn id="14" xr3:uid="{5D1D75F0-D4B5-8D45-A118-3B5CED6C9BA4}" name="Avg_Daily_Rate" dataDxfId="6"/>
    <tableColumn id="15" xr3:uid="{B9F49CCD-F330-3545-B58E-9EA44A83AFC7}" name="Rev_per_Av_Night" dataDxfId="5">
      <calculatedColumnFormula>IF(L2=0,0, Table2[[#This Row],[Income]]/Table2[[#This Row],[Available _Nights]])</calculatedColumnFormula>
    </tableColumn>
    <tableColumn id="16" xr3:uid="{510233F5-982A-FA4B-9495-ED7A792CB512}" name="Expense_Ratio%" dataDxfId="4">
      <calculatedColumnFormula>IF(Table2[[#This Row],[Income]]=0,0,Table2[[#This Row],[Total_Exp]]/Table2[[#This Row],[Income]])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C71530-026A-584D-8BD7-FCEEF8CBA477}">
  <we:reference id="wa200009404" version="1.0.0.8" store="en-US" storeType="OMEX"/>
  <we:alternateReferences>
    <we:reference id="WA200009404" version="1.0.0.8" store="" storeType="OMEX"/>
  </we:alternateReferences>
  <we:properties>
    <we:property name="claude.fileId" value="&quot;e6456d83-0122-4c16-8aa0-2e90de0afe8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9E23-B0BB-2840-8421-0BB9C1191DEE}">
  <dimension ref="A1:J688"/>
  <sheetViews>
    <sheetView topLeftCell="C1" zoomScale="114" zoomScaleNormal="114" workbookViewId="0">
      <pane ySplit="1" topLeftCell="A44" activePane="bottomLeft" state="frozen"/>
      <selection pane="bottomLeft" activeCell="G13" sqref="G13"/>
    </sheetView>
  </sheetViews>
  <sheetFormatPr baseColWidth="10" defaultRowHeight="13" x14ac:dyDescent="0.15"/>
  <cols>
    <col min="1" max="1" width="12" style="10" customWidth="1"/>
    <col min="2" max="2" width="20.5" style="10" customWidth="1"/>
    <col min="3" max="3" width="11.1640625" style="7" customWidth="1"/>
    <col min="4" max="4" width="18.1640625" style="7" customWidth="1"/>
    <col min="5" max="6" width="23.33203125" style="7" customWidth="1"/>
    <col min="7" max="7" width="20.33203125" style="7" customWidth="1"/>
    <col min="8" max="8" width="22" style="7" customWidth="1"/>
    <col min="9" max="9" width="16.6640625" style="7" customWidth="1"/>
    <col min="10" max="10" width="10.83203125" style="1"/>
    <col min="11" max="16384" width="10.83203125" style="7"/>
  </cols>
  <sheetData>
    <row r="1" spans="1:10" s="6" customFormat="1" x14ac:dyDescent="0.15">
      <c r="A1" s="9" t="s">
        <v>982</v>
      </c>
      <c r="B1" s="9" t="s">
        <v>983</v>
      </c>
      <c r="C1" s="9" t="s">
        <v>1148</v>
      </c>
      <c r="D1" s="6" t="s">
        <v>757</v>
      </c>
      <c r="E1" s="6" t="s">
        <v>758</v>
      </c>
      <c r="F1" s="6" t="s">
        <v>987</v>
      </c>
      <c r="G1" s="6" t="s">
        <v>986</v>
      </c>
      <c r="H1" s="6" t="s">
        <v>981</v>
      </c>
      <c r="I1" s="6" t="s">
        <v>984</v>
      </c>
      <c r="J1" s="25" t="s">
        <v>1089</v>
      </c>
    </row>
    <row r="2" spans="1:10" ht="14" x14ac:dyDescent="0.2">
      <c r="A2" s="10">
        <v>44635</v>
      </c>
      <c r="B2" s="10">
        <v>44638</v>
      </c>
      <c r="C2" s="7">
        <f>Table1[[#This Row],[Check-out Date]]-Table1[[#This Row],[Check-in Date]]</f>
        <v>3</v>
      </c>
      <c r="D2" s="7" t="s">
        <v>296</v>
      </c>
      <c r="E2" s="7" t="s">
        <v>759</v>
      </c>
      <c r="F2" s="14">
        <v>336.29</v>
      </c>
      <c r="G2" s="14">
        <f>Table1[[#This Row],[FULL AMOUNT usd]]*20</f>
        <v>6725.8</v>
      </c>
      <c r="H2" s="8">
        <f t="shared" ref="H2:H65" si="0">F2*0.2</f>
        <v>67.25800000000001</v>
      </c>
      <c r="I2" s="10" t="s">
        <v>785</v>
      </c>
      <c r="J2" s="24" t="str">
        <f t="shared" ref="J2:J65" si="1">YEAR(A2)&amp;"-"&amp;TEXT(MONTH(A2),"00")</f>
        <v>2022-03</v>
      </c>
    </row>
    <row r="3" spans="1:10" ht="14" x14ac:dyDescent="0.2">
      <c r="A3" s="10">
        <v>44635</v>
      </c>
      <c r="B3" s="10">
        <v>44640</v>
      </c>
      <c r="C3" s="7">
        <f>Table1[[#This Row],[Check-out Date]]-Table1[[#This Row],[Check-in Date]]</f>
        <v>5</v>
      </c>
      <c r="D3" s="7" t="s">
        <v>295</v>
      </c>
      <c r="E3" s="7" t="s">
        <v>760</v>
      </c>
      <c r="F3" s="14">
        <v>533.36</v>
      </c>
      <c r="G3" s="14">
        <f>Table1[[#This Row],[FULL AMOUNT usd]]*20</f>
        <v>10667.2</v>
      </c>
      <c r="H3" s="8">
        <f t="shared" si="0"/>
        <v>106.67200000000001</v>
      </c>
      <c r="I3" s="10" t="s">
        <v>785</v>
      </c>
      <c r="J3" s="24" t="str">
        <f t="shared" si="1"/>
        <v>2022-03</v>
      </c>
    </row>
    <row r="4" spans="1:10" ht="14" x14ac:dyDescent="0.2">
      <c r="A4" s="10">
        <v>44638</v>
      </c>
      <c r="B4" s="10">
        <v>44656</v>
      </c>
      <c r="C4" s="7">
        <f>Table1[[#This Row],[Check-out Date]]-Table1[[#This Row],[Check-in Date]]</f>
        <v>18</v>
      </c>
      <c r="D4" s="7" t="s">
        <v>296</v>
      </c>
      <c r="E4" s="7" t="s">
        <v>759</v>
      </c>
      <c r="F4" s="14">
        <v>1298</v>
      </c>
      <c r="G4" s="14">
        <f>Table1[[#This Row],[FULL AMOUNT usd]]*20</f>
        <v>25960</v>
      </c>
      <c r="H4" s="8">
        <f t="shared" si="0"/>
        <v>259.60000000000002</v>
      </c>
      <c r="I4" s="10" t="s">
        <v>785</v>
      </c>
      <c r="J4" s="24" t="str">
        <f t="shared" si="1"/>
        <v>2022-03</v>
      </c>
    </row>
    <row r="5" spans="1:10" ht="14" x14ac:dyDescent="0.2">
      <c r="A5" s="10">
        <v>44644</v>
      </c>
      <c r="B5" s="10">
        <v>44660</v>
      </c>
      <c r="C5" s="7">
        <f>Table1[[#This Row],[Check-out Date]]-Table1[[#This Row],[Check-in Date]]</f>
        <v>16</v>
      </c>
      <c r="D5" s="7" t="s">
        <v>295</v>
      </c>
      <c r="E5" s="7" t="s">
        <v>761</v>
      </c>
      <c r="F5" s="14">
        <v>857.89</v>
      </c>
      <c r="G5" s="14">
        <f>Table1[[#This Row],[FULL AMOUNT usd]]*20</f>
        <v>17157.8</v>
      </c>
      <c r="H5" s="8">
        <f t="shared" si="0"/>
        <v>171.578</v>
      </c>
      <c r="I5" s="10" t="s">
        <v>785</v>
      </c>
      <c r="J5" s="24" t="str">
        <f t="shared" si="1"/>
        <v>2022-03</v>
      </c>
    </row>
    <row r="6" spans="1:10" ht="14" x14ac:dyDescent="0.2">
      <c r="A6" s="10">
        <v>44645</v>
      </c>
      <c r="B6" s="10">
        <v>44647</v>
      </c>
      <c r="C6" s="7">
        <f>Table1[[#This Row],[Check-out Date]]-Table1[[#This Row],[Check-in Date]]</f>
        <v>2</v>
      </c>
      <c r="D6" s="7" t="s">
        <v>295</v>
      </c>
      <c r="E6" s="7" t="s">
        <v>762</v>
      </c>
      <c r="F6" s="14">
        <v>291.54000000000002</v>
      </c>
      <c r="G6" s="14">
        <f>Table1[[#This Row],[FULL AMOUNT usd]]*20</f>
        <v>5830.8</v>
      </c>
      <c r="H6" s="8">
        <f t="shared" si="0"/>
        <v>58.308000000000007</v>
      </c>
      <c r="I6" s="10" t="s">
        <v>785</v>
      </c>
      <c r="J6" s="24" t="str">
        <f t="shared" si="1"/>
        <v>2022-03</v>
      </c>
    </row>
    <row r="7" spans="1:10" ht="14" x14ac:dyDescent="0.2">
      <c r="A7" s="10">
        <v>44652</v>
      </c>
      <c r="B7" s="10">
        <v>44656</v>
      </c>
      <c r="C7" s="7">
        <f>Table1[[#This Row],[Check-out Date]]-Table1[[#This Row],[Check-in Date]]</f>
        <v>4</v>
      </c>
      <c r="D7" s="7" t="s">
        <v>295</v>
      </c>
      <c r="E7" s="7" t="s">
        <v>763</v>
      </c>
      <c r="F7" s="14">
        <v>448</v>
      </c>
      <c r="G7" s="14">
        <f>Table1[[#This Row],[FULL AMOUNT usd]]*20</f>
        <v>8960</v>
      </c>
      <c r="H7" s="8">
        <f t="shared" si="0"/>
        <v>89.600000000000009</v>
      </c>
      <c r="I7" s="10" t="s">
        <v>787</v>
      </c>
      <c r="J7" s="24" t="str">
        <f t="shared" si="1"/>
        <v>2022-04</v>
      </c>
    </row>
    <row r="8" spans="1:10" ht="14" x14ac:dyDescent="0.2">
      <c r="A8" s="10">
        <v>44659</v>
      </c>
      <c r="B8" s="10">
        <v>44661</v>
      </c>
      <c r="C8" s="7">
        <f>Table1[[#This Row],[Check-out Date]]-Table1[[#This Row],[Check-in Date]]</f>
        <v>2</v>
      </c>
      <c r="D8" s="7" t="s">
        <v>296</v>
      </c>
      <c r="E8" s="7" t="s">
        <v>764</v>
      </c>
      <c r="F8" s="14">
        <v>268.94</v>
      </c>
      <c r="G8" s="14">
        <f>Table1[[#This Row],[FULL AMOUNT usd]]*20</f>
        <v>5378.8</v>
      </c>
      <c r="H8" s="8">
        <f t="shared" si="0"/>
        <v>53.788000000000004</v>
      </c>
      <c r="I8" s="10" t="s">
        <v>785</v>
      </c>
      <c r="J8" s="24" t="str">
        <f t="shared" si="1"/>
        <v>2022-04</v>
      </c>
    </row>
    <row r="9" spans="1:10" ht="14" x14ac:dyDescent="0.2">
      <c r="A9" s="10">
        <v>44661</v>
      </c>
      <c r="B9" s="10">
        <v>44666</v>
      </c>
      <c r="C9" s="7">
        <f>Table1[[#This Row],[Check-out Date]]-Table1[[#This Row],[Check-in Date]]</f>
        <v>5</v>
      </c>
      <c r="D9" s="7" t="s">
        <v>295</v>
      </c>
      <c r="E9" s="7" t="s">
        <v>765</v>
      </c>
      <c r="F9" s="14">
        <v>627.15</v>
      </c>
      <c r="G9" s="14">
        <f>Table1[[#This Row],[FULL AMOUNT usd]]*20</f>
        <v>12543</v>
      </c>
      <c r="H9" s="8">
        <f t="shared" si="0"/>
        <v>125.43</v>
      </c>
      <c r="I9" s="10" t="s">
        <v>785</v>
      </c>
      <c r="J9" s="24" t="str">
        <f t="shared" si="1"/>
        <v>2022-04</v>
      </c>
    </row>
    <row r="10" spans="1:10" ht="14" x14ac:dyDescent="0.2">
      <c r="A10" s="10">
        <v>44664</v>
      </c>
      <c r="B10" s="10">
        <v>44667</v>
      </c>
      <c r="C10" s="7">
        <f>Table1[[#This Row],[Check-out Date]]-Table1[[#This Row],[Check-in Date]]</f>
        <v>3</v>
      </c>
      <c r="D10" s="7" t="s">
        <v>296</v>
      </c>
      <c r="E10" s="7" t="s">
        <v>766</v>
      </c>
      <c r="F10" s="14">
        <v>335.61</v>
      </c>
      <c r="G10" s="14">
        <f>Table1[[#This Row],[FULL AMOUNT usd]]*20</f>
        <v>6712.2000000000007</v>
      </c>
      <c r="H10" s="8">
        <f t="shared" si="0"/>
        <v>67.122</v>
      </c>
      <c r="I10" s="10" t="s">
        <v>785</v>
      </c>
      <c r="J10" s="24" t="str">
        <f t="shared" si="1"/>
        <v>2022-04</v>
      </c>
    </row>
    <row r="11" spans="1:10" ht="14" x14ac:dyDescent="0.2">
      <c r="A11" s="10">
        <v>44667</v>
      </c>
      <c r="B11" s="10">
        <v>44670</v>
      </c>
      <c r="C11" s="7">
        <f>Table1[[#This Row],[Check-out Date]]-Table1[[#This Row],[Check-in Date]]</f>
        <v>3</v>
      </c>
      <c r="D11" s="7" t="s">
        <v>295</v>
      </c>
      <c r="E11" s="7" t="s">
        <v>766</v>
      </c>
      <c r="F11" s="14">
        <v>360</v>
      </c>
      <c r="G11" s="14">
        <f>Table1[[#This Row],[FULL AMOUNT usd]]*20</f>
        <v>7200</v>
      </c>
      <c r="H11" s="8">
        <f t="shared" si="0"/>
        <v>72</v>
      </c>
      <c r="I11" s="10" t="s">
        <v>785</v>
      </c>
      <c r="J11" s="24" t="str">
        <f t="shared" si="1"/>
        <v>2022-04</v>
      </c>
    </row>
    <row r="12" spans="1:10" ht="14" x14ac:dyDescent="0.2">
      <c r="A12" s="10">
        <v>44668</v>
      </c>
      <c r="B12" s="10">
        <v>44681</v>
      </c>
      <c r="C12" s="7">
        <f>Table1[[#This Row],[Check-out Date]]-Table1[[#This Row],[Check-in Date]]</f>
        <v>13</v>
      </c>
      <c r="D12" s="7" t="s">
        <v>296</v>
      </c>
      <c r="E12" s="7" t="s">
        <v>767</v>
      </c>
      <c r="F12" s="14">
        <v>1449.39</v>
      </c>
      <c r="G12" s="14">
        <f>Table1[[#This Row],[FULL AMOUNT usd]]*20</f>
        <v>28987.800000000003</v>
      </c>
      <c r="H12" s="8">
        <f t="shared" si="0"/>
        <v>289.87800000000004</v>
      </c>
      <c r="I12" s="10" t="s">
        <v>785</v>
      </c>
      <c r="J12" s="24" t="str">
        <f t="shared" si="1"/>
        <v>2022-04</v>
      </c>
    </row>
    <row r="13" spans="1:10" ht="14" x14ac:dyDescent="0.2">
      <c r="A13" s="10">
        <v>44673</v>
      </c>
      <c r="B13" s="10">
        <v>44680</v>
      </c>
      <c r="C13" s="7">
        <f>Table1[[#This Row],[Check-out Date]]-Table1[[#This Row],[Check-in Date]]</f>
        <v>7</v>
      </c>
      <c r="D13" s="7" t="s">
        <v>295</v>
      </c>
      <c r="E13" s="7" t="s">
        <v>768</v>
      </c>
      <c r="F13" s="14">
        <v>996.66</v>
      </c>
      <c r="G13" s="14">
        <f>Table1[[#This Row],[FULL AMOUNT usd]]*20</f>
        <v>19933.2</v>
      </c>
      <c r="H13" s="8">
        <f t="shared" si="0"/>
        <v>199.33199999999999</v>
      </c>
      <c r="I13" s="10" t="s">
        <v>785</v>
      </c>
      <c r="J13" s="24" t="str">
        <f t="shared" si="1"/>
        <v>2022-04</v>
      </c>
    </row>
    <row r="14" spans="1:10" ht="14" x14ac:dyDescent="0.2">
      <c r="A14" s="10">
        <v>44680</v>
      </c>
      <c r="B14" s="10">
        <v>44687</v>
      </c>
      <c r="C14" s="7">
        <f>Table1[[#This Row],[Check-out Date]]-Table1[[#This Row],[Check-in Date]]</f>
        <v>7</v>
      </c>
      <c r="D14" s="7" t="s">
        <v>295</v>
      </c>
      <c r="E14" s="7" t="s">
        <v>769</v>
      </c>
      <c r="F14" s="14">
        <v>996.32</v>
      </c>
      <c r="G14" s="14">
        <f>Table1[[#This Row],[FULL AMOUNT usd]]*20</f>
        <v>19926.400000000001</v>
      </c>
      <c r="H14" s="8">
        <f t="shared" si="0"/>
        <v>199.26400000000001</v>
      </c>
      <c r="I14" s="10" t="s">
        <v>785</v>
      </c>
      <c r="J14" s="24" t="str">
        <f t="shared" si="1"/>
        <v>2022-04</v>
      </c>
    </row>
    <row r="15" spans="1:10" ht="14" x14ac:dyDescent="0.2">
      <c r="A15" s="10">
        <v>44681</v>
      </c>
      <c r="B15" s="10">
        <v>44684</v>
      </c>
      <c r="C15" s="7">
        <f>Table1[[#This Row],[Check-out Date]]-Table1[[#This Row],[Check-in Date]]</f>
        <v>3</v>
      </c>
      <c r="D15" s="7" t="s">
        <v>296</v>
      </c>
      <c r="E15" s="7" t="s">
        <v>770</v>
      </c>
      <c r="F15" s="14">
        <v>403.41</v>
      </c>
      <c r="G15" s="14">
        <f>Table1[[#This Row],[FULL AMOUNT usd]]*20</f>
        <v>8068.2000000000007</v>
      </c>
      <c r="H15" s="8">
        <f t="shared" si="0"/>
        <v>80.682000000000016</v>
      </c>
      <c r="I15" s="10" t="s">
        <v>785</v>
      </c>
      <c r="J15" s="24" t="str">
        <f t="shared" si="1"/>
        <v>2022-04</v>
      </c>
    </row>
    <row r="16" spans="1:10" ht="14" x14ac:dyDescent="0.2">
      <c r="A16" s="10">
        <v>44688</v>
      </c>
      <c r="B16" s="10">
        <v>44694</v>
      </c>
      <c r="C16" s="7">
        <f>Table1[[#This Row],[Check-out Date]]-Table1[[#This Row],[Check-in Date]]</f>
        <v>6</v>
      </c>
      <c r="D16" s="7" t="s">
        <v>295</v>
      </c>
      <c r="E16" s="7" t="s">
        <v>772</v>
      </c>
      <c r="F16" s="14">
        <v>952.59</v>
      </c>
      <c r="G16" s="14">
        <f>Table1[[#This Row],[FULL AMOUNT usd]]*20</f>
        <v>19051.8</v>
      </c>
      <c r="H16" s="8">
        <f t="shared" si="0"/>
        <v>190.51800000000003</v>
      </c>
      <c r="I16" s="10" t="s">
        <v>785</v>
      </c>
      <c r="J16" s="24" t="str">
        <f t="shared" si="1"/>
        <v>2022-05</v>
      </c>
    </row>
    <row r="17" spans="1:10" ht="14" x14ac:dyDescent="0.2">
      <c r="A17" s="10">
        <v>44689</v>
      </c>
      <c r="B17" s="10">
        <v>44692</v>
      </c>
      <c r="C17" s="7">
        <f>Table1[[#This Row],[Check-out Date]]-Table1[[#This Row],[Check-in Date]]</f>
        <v>3</v>
      </c>
      <c r="D17" s="7" t="s">
        <v>296</v>
      </c>
      <c r="E17" s="7" t="s">
        <v>771</v>
      </c>
      <c r="F17" s="14">
        <v>369.85</v>
      </c>
      <c r="G17" s="14">
        <f>Table1[[#This Row],[FULL AMOUNT usd]]*20</f>
        <v>7397</v>
      </c>
      <c r="H17" s="8">
        <f t="shared" si="0"/>
        <v>73.970000000000013</v>
      </c>
      <c r="I17" s="10" t="s">
        <v>785</v>
      </c>
      <c r="J17" s="24" t="str">
        <f t="shared" si="1"/>
        <v>2022-05</v>
      </c>
    </row>
    <row r="18" spans="1:10" ht="14" x14ac:dyDescent="0.2">
      <c r="A18" s="10">
        <v>44692</v>
      </c>
      <c r="B18" s="10">
        <v>44700</v>
      </c>
      <c r="C18" s="7">
        <f>Table1[[#This Row],[Check-out Date]]-Table1[[#This Row],[Check-in Date]]</f>
        <v>8</v>
      </c>
      <c r="D18" s="7" t="s">
        <v>296</v>
      </c>
      <c r="E18" s="7" t="s">
        <v>773</v>
      </c>
      <c r="F18" s="14">
        <v>535.62</v>
      </c>
      <c r="G18" s="14">
        <f>Table1[[#This Row],[FULL AMOUNT usd]]*20</f>
        <v>10712.4</v>
      </c>
      <c r="H18" s="8">
        <f t="shared" si="0"/>
        <v>107.12400000000001</v>
      </c>
      <c r="I18" s="10" t="s">
        <v>785</v>
      </c>
      <c r="J18" s="24" t="str">
        <f t="shared" si="1"/>
        <v>2022-05</v>
      </c>
    </row>
    <row r="19" spans="1:10" ht="14" x14ac:dyDescent="0.2">
      <c r="A19" s="10">
        <v>44694</v>
      </c>
      <c r="B19" s="10">
        <v>44723</v>
      </c>
      <c r="C19" s="7">
        <f>Table1[[#This Row],[Check-out Date]]-Table1[[#This Row],[Check-in Date]]</f>
        <v>29</v>
      </c>
      <c r="D19" s="7" t="s">
        <v>295</v>
      </c>
      <c r="E19" s="7" t="s">
        <v>775</v>
      </c>
      <c r="F19" s="14">
        <v>2646.62</v>
      </c>
      <c r="G19" s="14">
        <f>Table1[[#This Row],[FULL AMOUNT usd]]*20</f>
        <v>52932.399999999994</v>
      </c>
      <c r="H19" s="8">
        <f t="shared" si="0"/>
        <v>529.32399999999996</v>
      </c>
      <c r="I19" s="10" t="s">
        <v>785</v>
      </c>
      <c r="J19" s="24" t="str">
        <f t="shared" si="1"/>
        <v>2022-05</v>
      </c>
    </row>
    <row r="20" spans="1:10" ht="14" x14ac:dyDescent="0.2">
      <c r="A20" s="10">
        <v>44701</v>
      </c>
      <c r="B20" s="10">
        <v>44707</v>
      </c>
      <c r="C20" s="7">
        <f>Table1[[#This Row],[Check-out Date]]-Table1[[#This Row],[Check-in Date]]</f>
        <v>6</v>
      </c>
      <c r="D20" s="7" t="s">
        <v>296</v>
      </c>
      <c r="E20" s="7" t="s">
        <v>774</v>
      </c>
      <c r="F20" s="14">
        <v>739.79</v>
      </c>
      <c r="G20" s="14">
        <f>Table1[[#This Row],[FULL AMOUNT usd]]*20</f>
        <v>14795.8</v>
      </c>
      <c r="H20" s="8">
        <f t="shared" si="0"/>
        <v>147.958</v>
      </c>
      <c r="I20" s="10" t="s">
        <v>785</v>
      </c>
      <c r="J20" s="24" t="str">
        <f t="shared" si="1"/>
        <v>2022-05</v>
      </c>
    </row>
    <row r="21" spans="1:10" ht="14" x14ac:dyDescent="0.2">
      <c r="A21" s="10">
        <v>44709</v>
      </c>
      <c r="B21" s="10">
        <v>44720</v>
      </c>
      <c r="C21" s="7">
        <f>Table1[[#This Row],[Check-out Date]]-Table1[[#This Row],[Check-in Date]]</f>
        <v>11</v>
      </c>
      <c r="D21" s="7" t="s">
        <v>296</v>
      </c>
      <c r="E21" s="7" t="s">
        <v>776</v>
      </c>
      <c r="F21" s="14">
        <v>1255.27</v>
      </c>
      <c r="G21" s="14">
        <f>Table1[[#This Row],[FULL AMOUNT usd]]*20</f>
        <v>25105.4</v>
      </c>
      <c r="H21" s="8">
        <f t="shared" si="0"/>
        <v>251.054</v>
      </c>
      <c r="I21" s="10" t="s">
        <v>785</v>
      </c>
      <c r="J21" s="24" t="str">
        <f t="shared" si="1"/>
        <v>2022-05</v>
      </c>
    </row>
    <row r="22" spans="1:10" ht="14" x14ac:dyDescent="0.2">
      <c r="A22" s="10">
        <v>44713</v>
      </c>
      <c r="B22" s="10">
        <v>44716</v>
      </c>
      <c r="C22" s="7">
        <f>Table1[[#This Row],[Check-out Date]]-Table1[[#This Row],[Check-in Date]]</f>
        <v>3</v>
      </c>
      <c r="D22" s="7" t="s">
        <v>295</v>
      </c>
      <c r="E22" s="7" t="s">
        <v>777</v>
      </c>
      <c r="F22" s="14">
        <v>233.91</v>
      </c>
      <c r="G22" s="14">
        <f>Table1[[#This Row],[FULL AMOUNT usd]]*20</f>
        <v>4678.2</v>
      </c>
      <c r="H22" s="8">
        <f t="shared" si="0"/>
        <v>46.782000000000004</v>
      </c>
      <c r="I22" s="10" t="s">
        <v>785</v>
      </c>
      <c r="J22" s="24" t="str">
        <f t="shared" si="1"/>
        <v>2022-06</v>
      </c>
    </row>
    <row r="23" spans="1:10" ht="14" x14ac:dyDescent="0.2">
      <c r="A23" s="10">
        <v>44720</v>
      </c>
      <c r="B23" s="10">
        <v>44723</v>
      </c>
      <c r="C23" s="7">
        <f>Table1[[#This Row],[Check-out Date]]-Table1[[#This Row],[Check-in Date]]</f>
        <v>3</v>
      </c>
      <c r="D23" s="7" t="s">
        <v>296</v>
      </c>
      <c r="E23" s="7" t="s">
        <v>778</v>
      </c>
      <c r="F23" s="14">
        <v>339.34</v>
      </c>
      <c r="G23" s="14">
        <f>Table1[[#This Row],[FULL AMOUNT usd]]*20</f>
        <v>6786.7999999999993</v>
      </c>
      <c r="H23" s="8">
        <f t="shared" si="0"/>
        <v>67.867999999999995</v>
      </c>
      <c r="I23" s="10" t="s">
        <v>785</v>
      </c>
      <c r="J23" s="24" t="str">
        <f t="shared" si="1"/>
        <v>2022-06</v>
      </c>
    </row>
    <row r="24" spans="1:10" ht="14" x14ac:dyDescent="0.2">
      <c r="A24" s="10">
        <v>44728</v>
      </c>
      <c r="B24" s="10">
        <v>44732</v>
      </c>
      <c r="C24" s="7">
        <f>Table1[[#This Row],[Check-out Date]]-Table1[[#This Row],[Check-in Date]]</f>
        <v>4</v>
      </c>
      <c r="D24" s="7" t="s">
        <v>296</v>
      </c>
      <c r="E24" s="7" t="s">
        <v>779</v>
      </c>
      <c r="F24" s="14">
        <v>470.53</v>
      </c>
      <c r="G24" s="14">
        <f>Table1[[#This Row],[FULL AMOUNT usd]]*20</f>
        <v>9410.5999999999985</v>
      </c>
      <c r="H24" s="8">
        <f t="shared" si="0"/>
        <v>94.105999999999995</v>
      </c>
      <c r="I24" s="10" t="s">
        <v>785</v>
      </c>
      <c r="J24" s="24" t="str">
        <f t="shared" si="1"/>
        <v>2022-06</v>
      </c>
    </row>
    <row r="25" spans="1:10" ht="14" x14ac:dyDescent="0.2">
      <c r="A25" s="10">
        <v>44736</v>
      </c>
      <c r="B25" s="10">
        <v>44740</v>
      </c>
      <c r="C25" s="7">
        <f>Table1[[#This Row],[Check-out Date]]-Table1[[#This Row],[Check-in Date]]</f>
        <v>4</v>
      </c>
      <c r="D25" s="7" t="s">
        <v>296</v>
      </c>
      <c r="E25" s="7" t="s">
        <v>780</v>
      </c>
      <c r="F25" s="14">
        <v>424.88</v>
      </c>
      <c r="G25" s="14">
        <f>Table1[[#This Row],[FULL AMOUNT usd]]*20</f>
        <v>8497.6</v>
      </c>
      <c r="H25" s="8">
        <f t="shared" si="0"/>
        <v>84.975999999999999</v>
      </c>
      <c r="I25" s="10" t="s">
        <v>785</v>
      </c>
      <c r="J25" s="24" t="str">
        <f t="shared" si="1"/>
        <v>2022-06</v>
      </c>
    </row>
    <row r="26" spans="1:10" ht="14" x14ac:dyDescent="0.2">
      <c r="A26" s="10">
        <v>44736</v>
      </c>
      <c r="B26" s="10">
        <v>44740</v>
      </c>
      <c r="C26" s="7">
        <f>Table1[[#This Row],[Check-out Date]]-Table1[[#This Row],[Check-in Date]]</f>
        <v>4</v>
      </c>
      <c r="D26" s="7" t="s">
        <v>296</v>
      </c>
      <c r="E26" s="7" t="s">
        <v>781</v>
      </c>
      <c r="F26" s="14">
        <v>110</v>
      </c>
      <c r="G26" s="14">
        <f>Table1[[#This Row],[FULL AMOUNT usd]]*20</f>
        <v>2200</v>
      </c>
      <c r="H26" s="8">
        <f t="shared" si="0"/>
        <v>22</v>
      </c>
      <c r="I26" s="10" t="s">
        <v>785</v>
      </c>
      <c r="J26" s="24" t="str">
        <f t="shared" si="1"/>
        <v>2022-06</v>
      </c>
    </row>
    <row r="27" spans="1:10" ht="14" x14ac:dyDescent="0.2">
      <c r="A27" s="10">
        <v>44737</v>
      </c>
      <c r="B27" s="10">
        <v>44740</v>
      </c>
      <c r="C27" s="7">
        <f>Table1[[#This Row],[Check-out Date]]-Table1[[#This Row],[Check-in Date]]</f>
        <v>3</v>
      </c>
      <c r="D27" s="7" t="s">
        <v>295</v>
      </c>
      <c r="E27" s="7" t="s">
        <v>770</v>
      </c>
      <c r="F27" s="14">
        <v>222.61</v>
      </c>
      <c r="G27" s="14">
        <f>Table1[[#This Row],[FULL AMOUNT usd]]*20</f>
        <v>4452.2000000000007</v>
      </c>
      <c r="H27" s="8">
        <f t="shared" si="0"/>
        <v>44.522000000000006</v>
      </c>
      <c r="I27" s="10" t="s">
        <v>785</v>
      </c>
      <c r="J27" s="24" t="str">
        <f t="shared" si="1"/>
        <v>2022-06</v>
      </c>
    </row>
    <row r="28" spans="1:10" ht="14" x14ac:dyDescent="0.2">
      <c r="A28" s="10">
        <v>44744</v>
      </c>
      <c r="B28" s="10">
        <v>44749</v>
      </c>
      <c r="C28" s="7">
        <f>Table1[[#This Row],[Check-out Date]]-Table1[[#This Row],[Check-in Date]]</f>
        <v>5</v>
      </c>
      <c r="D28" s="7" t="s">
        <v>295</v>
      </c>
      <c r="E28" s="7" t="s">
        <v>782</v>
      </c>
      <c r="F28" s="14">
        <v>795.52</v>
      </c>
      <c r="G28" s="14">
        <f>Table1[[#This Row],[FULL AMOUNT usd]]*20</f>
        <v>15910.4</v>
      </c>
      <c r="H28" s="8">
        <f t="shared" si="0"/>
        <v>159.10400000000001</v>
      </c>
      <c r="I28" s="10" t="s">
        <v>785</v>
      </c>
      <c r="J28" s="24" t="str">
        <f t="shared" si="1"/>
        <v>2022-07</v>
      </c>
    </row>
    <row r="29" spans="1:10" ht="14" x14ac:dyDescent="0.2">
      <c r="A29" s="10">
        <v>44750</v>
      </c>
      <c r="B29" s="10">
        <v>44754</v>
      </c>
      <c r="C29" s="7">
        <f>Table1[[#This Row],[Check-out Date]]-Table1[[#This Row],[Check-in Date]]</f>
        <v>4</v>
      </c>
      <c r="D29" s="7" t="s">
        <v>295</v>
      </c>
      <c r="E29" s="7" t="s">
        <v>783</v>
      </c>
      <c r="F29" s="14">
        <v>648.62</v>
      </c>
      <c r="G29" s="14">
        <f>Table1[[#This Row],[FULL AMOUNT usd]]*20</f>
        <v>12972.4</v>
      </c>
      <c r="H29" s="8">
        <f t="shared" si="0"/>
        <v>129.72400000000002</v>
      </c>
      <c r="I29" s="10" t="s">
        <v>785</v>
      </c>
      <c r="J29" s="24" t="str">
        <f t="shared" si="1"/>
        <v>2022-07</v>
      </c>
    </row>
    <row r="30" spans="1:10" ht="14" x14ac:dyDescent="0.2">
      <c r="A30" s="10">
        <v>44751</v>
      </c>
      <c r="B30" s="10">
        <v>44773</v>
      </c>
      <c r="C30" s="7">
        <f>Table1[[#This Row],[Check-out Date]]-Table1[[#This Row],[Check-in Date]]</f>
        <v>22</v>
      </c>
      <c r="D30" s="7" t="s">
        <v>296</v>
      </c>
      <c r="E30" s="7" t="s">
        <v>784</v>
      </c>
      <c r="F30" s="14">
        <v>2268.8200000000002</v>
      </c>
      <c r="G30" s="14">
        <f>Table1[[#This Row],[FULL AMOUNT usd]]*20</f>
        <v>45376.4</v>
      </c>
      <c r="H30" s="8">
        <f t="shared" si="0"/>
        <v>453.76400000000007</v>
      </c>
      <c r="I30" s="10" t="s">
        <v>785</v>
      </c>
      <c r="J30" s="24" t="str">
        <f t="shared" si="1"/>
        <v>2022-07</v>
      </c>
    </row>
    <row r="31" spans="1:10" ht="14" x14ac:dyDescent="0.2">
      <c r="A31" s="10">
        <v>44757</v>
      </c>
      <c r="B31" s="10">
        <v>44761</v>
      </c>
      <c r="C31" s="7">
        <f>Table1[[#This Row],[Check-out Date]]-Table1[[#This Row],[Check-in Date]]</f>
        <v>4</v>
      </c>
      <c r="D31" s="7" t="s">
        <v>295</v>
      </c>
      <c r="E31" s="7" t="s">
        <v>786</v>
      </c>
      <c r="F31" s="14">
        <v>706.25</v>
      </c>
      <c r="G31" s="14">
        <f>Table1[[#This Row],[FULL AMOUNT usd]]*20</f>
        <v>14125</v>
      </c>
      <c r="H31" s="8">
        <f t="shared" si="0"/>
        <v>141.25</v>
      </c>
      <c r="I31" s="10" t="s">
        <v>810</v>
      </c>
      <c r="J31" s="24" t="str">
        <f t="shared" si="1"/>
        <v>2022-07</v>
      </c>
    </row>
    <row r="32" spans="1:10" ht="14" x14ac:dyDescent="0.2">
      <c r="A32" s="10">
        <v>44775</v>
      </c>
      <c r="B32" s="10">
        <v>44781</v>
      </c>
      <c r="C32" s="7">
        <f>Table1[[#This Row],[Check-out Date]]-Table1[[#This Row],[Check-in Date]]</f>
        <v>6</v>
      </c>
      <c r="D32" s="7" t="s">
        <v>295</v>
      </c>
      <c r="E32" s="7" t="s">
        <v>790</v>
      </c>
      <c r="F32" s="14">
        <v>671.9</v>
      </c>
      <c r="G32" s="14">
        <f>Table1[[#This Row],[FULL AMOUNT usd]]*20</f>
        <v>13438</v>
      </c>
      <c r="H32" s="8">
        <f t="shared" si="0"/>
        <v>134.38</v>
      </c>
      <c r="I32" s="10" t="s">
        <v>785</v>
      </c>
      <c r="J32" s="24" t="str">
        <f t="shared" si="1"/>
        <v>2022-08</v>
      </c>
    </row>
    <row r="33" spans="1:10" ht="14" x14ac:dyDescent="0.2">
      <c r="A33" s="10">
        <v>44782</v>
      </c>
      <c r="B33" s="10">
        <v>44785</v>
      </c>
      <c r="C33" s="7">
        <f>Table1[[#This Row],[Check-out Date]]-Table1[[#This Row],[Check-in Date]]</f>
        <v>3</v>
      </c>
      <c r="D33" s="7" t="s">
        <v>295</v>
      </c>
      <c r="E33" s="7" t="s">
        <v>788</v>
      </c>
      <c r="F33" s="14">
        <v>514.71</v>
      </c>
      <c r="G33" s="14">
        <f>Table1[[#This Row],[FULL AMOUNT usd]]*20</f>
        <v>10294.200000000001</v>
      </c>
      <c r="H33" s="8">
        <f t="shared" si="0"/>
        <v>102.94200000000001</v>
      </c>
      <c r="I33" s="10" t="s">
        <v>785</v>
      </c>
      <c r="J33" s="24" t="str">
        <f t="shared" si="1"/>
        <v>2022-08</v>
      </c>
    </row>
    <row r="34" spans="1:10" ht="14" x14ac:dyDescent="0.2">
      <c r="A34" s="10">
        <v>44786</v>
      </c>
      <c r="B34" s="10">
        <v>44790</v>
      </c>
      <c r="C34" s="7">
        <f>Table1[[#This Row],[Check-out Date]]-Table1[[#This Row],[Check-in Date]]</f>
        <v>4</v>
      </c>
      <c r="D34" s="7" t="s">
        <v>295</v>
      </c>
      <c r="E34" s="7" t="s">
        <v>789</v>
      </c>
      <c r="F34" s="14">
        <v>452.11</v>
      </c>
      <c r="G34" s="14">
        <f>Table1[[#This Row],[FULL AMOUNT usd]]*20</f>
        <v>9042.2000000000007</v>
      </c>
      <c r="H34" s="8">
        <f t="shared" si="0"/>
        <v>90.422000000000011</v>
      </c>
      <c r="I34" s="10" t="s">
        <v>785</v>
      </c>
      <c r="J34" s="24" t="str">
        <f t="shared" si="1"/>
        <v>2022-08</v>
      </c>
    </row>
    <row r="35" spans="1:10" x14ac:dyDescent="0.15">
      <c r="A35" s="10">
        <v>44789</v>
      </c>
      <c r="B35" s="10">
        <v>44796</v>
      </c>
      <c r="C35" s="7">
        <f>Table1[[#This Row],[Check-out Date]]-Table1[[#This Row],[Check-in Date]]</f>
        <v>7</v>
      </c>
      <c r="D35" s="7" t="s">
        <v>297</v>
      </c>
      <c r="F35" s="14">
        <v>631.62</v>
      </c>
      <c r="G35" s="14">
        <f>Table1[[#This Row],[FULL AMOUNT usd]]*20</f>
        <v>12632.4</v>
      </c>
      <c r="H35" s="8">
        <f t="shared" si="0"/>
        <v>126.32400000000001</v>
      </c>
      <c r="I35" s="7" t="s">
        <v>785</v>
      </c>
      <c r="J35" s="2" t="str">
        <f t="shared" si="1"/>
        <v>2022-08</v>
      </c>
    </row>
    <row r="36" spans="1:10" ht="14" x14ac:dyDescent="0.2">
      <c r="A36" s="10">
        <v>44797</v>
      </c>
      <c r="B36" s="10">
        <v>44802</v>
      </c>
      <c r="C36" s="7">
        <f>Table1[[#This Row],[Check-out Date]]-Table1[[#This Row],[Check-in Date]]</f>
        <v>5</v>
      </c>
      <c r="D36" s="7" t="s">
        <v>297</v>
      </c>
      <c r="E36" s="7" t="s">
        <v>792</v>
      </c>
      <c r="F36" s="14">
        <v>171.42</v>
      </c>
      <c r="G36" s="14">
        <f>Table1[[#This Row],[FULL AMOUNT usd]]*20</f>
        <v>3428.3999999999996</v>
      </c>
      <c r="H36" s="8">
        <f t="shared" si="0"/>
        <v>34.283999999999999</v>
      </c>
      <c r="I36" s="10" t="s">
        <v>974</v>
      </c>
      <c r="J36" s="24" t="str">
        <f t="shared" si="1"/>
        <v>2022-08</v>
      </c>
    </row>
    <row r="37" spans="1:10" x14ac:dyDescent="0.15">
      <c r="A37" s="10">
        <v>44797</v>
      </c>
      <c r="B37" s="10">
        <v>44802</v>
      </c>
      <c r="C37" s="7">
        <f>Table1[[#This Row],[Check-out Date]]-Table1[[#This Row],[Check-in Date]]</f>
        <v>5</v>
      </c>
      <c r="D37" s="7" t="s">
        <v>297</v>
      </c>
      <c r="F37" s="14">
        <v>171.42</v>
      </c>
      <c r="G37" s="14">
        <f>Table1[[#This Row],[FULL AMOUNT usd]]*20</f>
        <v>3428.3999999999996</v>
      </c>
      <c r="H37" s="8">
        <f t="shared" si="0"/>
        <v>34.283999999999999</v>
      </c>
      <c r="I37" s="7" t="s">
        <v>785</v>
      </c>
      <c r="J37" s="2" t="str">
        <f t="shared" si="1"/>
        <v>2022-08</v>
      </c>
    </row>
    <row r="38" spans="1:10" ht="14" x14ac:dyDescent="0.2">
      <c r="A38" s="10">
        <v>44798</v>
      </c>
      <c r="B38" s="10">
        <v>44803</v>
      </c>
      <c r="C38" s="7">
        <f>Table1[[#This Row],[Check-out Date]]-Table1[[#This Row],[Check-in Date]]</f>
        <v>5</v>
      </c>
      <c r="D38" s="7" t="s">
        <v>296</v>
      </c>
      <c r="E38" s="7" t="s">
        <v>791</v>
      </c>
      <c r="F38" s="14">
        <v>269.51</v>
      </c>
      <c r="G38" s="14">
        <f>Table1[[#This Row],[FULL AMOUNT usd]]*20</f>
        <v>5390.2</v>
      </c>
      <c r="H38" s="8">
        <f t="shared" si="0"/>
        <v>53.902000000000001</v>
      </c>
      <c r="I38" s="10" t="s">
        <v>785</v>
      </c>
      <c r="J38" s="24" t="str">
        <f t="shared" si="1"/>
        <v>2022-08</v>
      </c>
    </row>
    <row r="39" spans="1:10" ht="14" x14ac:dyDescent="0.2">
      <c r="A39" s="10">
        <v>44842</v>
      </c>
      <c r="B39" s="10">
        <v>44846</v>
      </c>
      <c r="C39" s="7">
        <f>Table1[[#This Row],[Check-out Date]]-Table1[[#This Row],[Check-in Date]]</f>
        <v>4</v>
      </c>
      <c r="D39" s="7" t="s">
        <v>295</v>
      </c>
      <c r="E39" s="7" t="s">
        <v>794</v>
      </c>
      <c r="F39" s="14">
        <v>222</v>
      </c>
      <c r="G39" s="14">
        <f>Table1[[#This Row],[FULL AMOUNT usd]]*20</f>
        <v>4440</v>
      </c>
      <c r="H39" s="8">
        <f t="shared" si="0"/>
        <v>44.400000000000006</v>
      </c>
      <c r="I39" s="10" t="s">
        <v>810</v>
      </c>
      <c r="J39" s="24" t="str">
        <f t="shared" si="1"/>
        <v>2022-10</v>
      </c>
    </row>
    <row r="40" spans="1:10" ht="14" x14ac:dyDescent="0.2">
      <c r="A40" s="10">
        <v>44852</v>
      </c>
      <c r="B40" s="10">
        <v>44855</v>
      </c>
      <c r="C40" s="7">
        <f>Table1[[#This Row],[Check-out Date]]-Table1[[#This Row],[Check-in Date]]</f>
        <v>3</v>
      </c>
      <c r="D40" s="7" t="s">
        <v>295</v>
      </c>
      <c r="E40" s="7" t="s">
        <v>795</v>
      </c>
      <c r="F40" s="14">
        <v>321</v>
      </c>
      <c r="G40" s="14">
        <f>Table1[[#This Row],[FULL AMOUNT usd]]*20</f>
        <v>6420</v>
      </c>
      <c r="H40" s="8">
        <f t="shared" si="0"/>
        <v>64.2</v>
      </c>
      <c r="I40" s="10" t="s">
        <v>785</v>
      </c>
      <c r="J40" s="24" t="str">
        <f t="shared" si="1"/>
        <v>2022-10</v>
      </c>
    </row>
    <row r="41" spans="1:10" ht="14" x14ac:dyDescent="0.2">
      <c r="A41" s="10">
        <v>44864</v>
      </c>
      <c r="B41" s="10">
        <v>44867</v>
      </c>
      <c r="C41" s="7">
        <f>Table1[[#This Row],[Check-out Date]]-Table1[[#This Row],[Check-in Date]]</f>
        <v>3</v>
      </c>
      <c r="D41" s="7" t="s">
        <v>295</v>
      </c>
      <c r="E41" s="7" t="s">
        <v>796</v>
      </c>
      <c r="F41" s="14">
        <v>357</v>
      </c>
      <c r="G41" s="14">
        <f>Table1[[#This Row],[FULL AMOUNT usd]]*20</f>
        <v>7140</v>
      </c>
      <c r="H41" s="8">
        <f t="shared" si="0"/>
        <v>71.400000000000006</v>
      </c>
      <c r="I41" s="10" t="s">
        <v>785</v>
      </c>
      <c r="J41" s="24" t="str">
        <f t="shared" si="1"/>
        <v>2022-10</v>
      </c>
    </row>
    <row r="42" spans="1:10" ht="14" x14ac:dyDescent="0.2">
      <c r="A42" s="10">
        <v>44868</v>
      </c>
      <c r="B42" s="10">
        <v>44876</v>
      </c>
      <c r="C42" s="7">
        <f>Table1[[#This Row],[Check-out Date]]-Table1[[#This Row],[Check-in Date]]</f>
        <v>8</v>
      </c>
      <c r="D42" s="7" t="s">
        <v>295</v>
      </c>
      <c r="E42" s="7" t="s">
        <v>797</v>
      </c>
      <c r="F42" s="14">
        <v>918</v>
      </c>
      <c r="G42" s="14">
        <f>Table1[[#This Row],[FULL AMOUNT usd]]*20</f>
        <v>18360</v>
      </c>
      <c r="H42" s="8">
        <f t="shared" si="0"/>
        <v>183.60000000000002</v>
      </c>
      <c r="I42" s="10" t="s">
        <v>785</v>
      </c>
      <c r="J42" s="24" t="str">
        <f t="shared" si="1"/>
        <v>2022-11</v>
      </c>
    </row>
    <row r="43" spans="1:10" ht="14" x14ac:dyDescent="0.2">
      <c r="A43" s="10">
        <v>44873</v>
      </c>
      <c r="B43" s="10">
        <v>44877</v>
      </c>
      <c r="C43" s="7">
        <f>Table1[[#This Row],[Check-out Date]]-Table1[[#This Row],[Check-in Date]]</f>
        <v>4</v>
      </c>
      <c r="D43" s="7" t="s">
        <v>297</v>
      </c>
      <c r="E43" s="7" t="s">
        <v>798</v>
      </c>
      <c r="F43" s="14">
        <v>291.54000000000002</v>
      </c>
      <c r="G43" s="14">
        <f>Table1[[#This Row],[FULL AMOUNT usd]]*20</f>
        <v>5830.8</v>
      </c>
      <c r="H43" s="8">
        <f t="shared" si="0"/>
        <v>58.308000000000007</v>
      </c>
      <c r="I43" s="10" t="s">
        <v>810</v>
      </c>
      <c r="J43" s="24" t="str">
        <f t="shared" si="1"/>
        <v>2022-11</v>
      </c>
    </row>
    <row r="44" spans="1:10" x14ac:dyDescent="0.15">
      <c r="A44" s="10">
        <v>44873</v>
      </c>
      <c r="B44" s="10">
        <v>44877</v>
      </c>
      <c r="C44" s="7">
        <f>Table1[[#This Row],[Check-out Date]]-Table1[[#This Row],[Check-in Date]]</f>
        <v>4</v>
      </c>
      <c r="D44" s="7" t="s">
        <v>297</v>
      </c>
      <c r="F44" s="14">
        <v>291.54000000000002</v>
      </c>
      <c r="G44" s="14">
        <f>Table1[[#This Row],[FULL AMOUNT usd]]*20</f>
        <v>5830.8</v>
      </c>
      <c r="H44" s="8">
        <f t="shared" si="0"/>
        <v>58.308000000000007</v>
      </c>
      <c r="I44" s="7" t="s">
        <v>785</v>
      </c>
      <c r="J44" s="2" t="str">
        <f t="shared" si="1"/>
        <v>2022-11</v>
      </c>
    </row>
    <row r="45" spans="1:10" ht="14" x14ac:dyDescent="0.2">
      <c r="A45" s="10">
        <v>44876</v>
      </c>
      <c r="B45" s="10">
        <v>44881</v>
      </c>
      <c r="C45" s="7">
        <f>Table1[[#This Row],[Check-out Date]]-Table1[[#This Row],[Check-in Date]]</f>
        <v>5</v>
      </c>
      <c r="D45" s="7" t="s">
        <v>295</v>
      </c>
      <c r="E45" s="7" t="s">
        <v>799</v>
      </c>
      <c r="F45" s="14">
        <v>621.5</v>
      </c>
      <c r="G45" s="14">
        <f>Table1[[#This Row],[FULL AMOUNT usd]]*20</f>
        <v>12430</v>
      </c>
      <c r="H45" s="8">
        <f t="shared" si="0"/>
        <v>124.30000000000001</v>
      </c>
      <c r="I45" s="10" t="s">
        <v>785</v>
      </c>
      <c r="J45" s="24" t="str">
        <f t="shared" si="1"/>
        <v>2022-11</v>
      </c>
    </row>
    <row r="46" spans="1:10" ht="14" x14ac:dyDescent="0.2">
      <c r="A46" s="10">
        <v>44878</v>
      </c>
      <c r="B46" s="10">
        <v>44884</v>
      </c>
      <c r="C46" s="7">
        <f>Table1[[#This Row],[Check-out Date]]-Table1[[#This Row],[Check-in Date]]</f>
        <v>6</v>
      </c>
      <c r="D46" s="7" t="s">
        <v>296</v>
      </c>
      <c r="E46" s="7" t="s">
        <v>800</v>
      </c>
      <c r="F46" s="14">
        <v>615</v>
      </c>
      <c r="G46" s="14">
        <f>Table1[[#This Row],[FULL AMOUNT usd]]*20</f>
        <v>12300</v>
      </c>
      <c r="H46" s="8">
        <f t="shared" si="0"/>
        <v>123</v>
      </c>
      <c r="I46" s="10" t="s">
        <v>785</v>
      </c>
      <c r="J46" s="24" t="str">
        <f t="shared" si="1"/>
        <v>2022-11</v>
      </c>
    </row>
    <row r="47" spans="1:10" ht="14" x14ac:dyDescent="0.2">
      <c r="A47" s="10">
        <v>44885</v>
      </c>
      <c r="B47" s="10">
        <v>44889</v>
      </c>
      <c r="C47" s="7">
        <f>Table1[[#This Row],[Check-out Date]]-Table1[[#This Row],[Check-in Date]]</f>
        <v>4</v>
      </c>
      <c r="D47" s="7" t="s">
        <v>295</v>
      </c>
      <c r="E47" s="7" t="s">
        <v>802</v>
      </c>
      <c r="F47" s="14">
        <v>337.65</v>
      </c>
      <c r="G47" s="14">
        <f>Table1[[#This Row],[FULL AMOUNT usd]]*20</f>
        <v>6753</v>
      </c>
      <c r="H47" s="8">
        <f t="shared" si="0"/>
        <v>67.53</v>
      </c>
      <c r="I47" s="10" t="s">
        <v>810</v>
      </c>
      <c r="J47" s="24" t="str">
        <f t="shared" si="1"/>
        <v>2022-11</v>
      </c>
    </row>
    <row r="48" spans="1:10" ht="14" x14ac:dyDescent="0.2">
      <c r="A48" s="10">
        <v>44888</v>
      </c>
      <c r="B48" s="10">
        <v>44893</v>
      </c>
      <c r="C48" s="7">
        <f>Table1[[#This Row],[Check-out Date]]-Table1[[#This Row],[Check-in Date]]</f>
        <v>5</v>
      </c>
      <c r="D48" s="7" t="s">
        <v>295</v>
      </c>
      <c r="E48" s="7" t="s">
        <v>801</v>
      </c>
      <c r="F48" s="14">
        <v>211</v>
      </c>
      <c r="G48" s="14">
        <f>Table1[[#This Row],[FULL AMOUNT usd]]*20</f>
        <v>4220</v>
      </c>
      <c r="H48" s="8">
        <f t="shared" si="0"/>
        <v>42.2</v>
      </c>
      <c r="I48" s="10" t="s">
        <v>810</v>
      </c>
      <c r="J48" s="24" t="str">
        <f t="shared" si="1"/>
        <v>2022-11</v>
      </c>
    </row>
    <row r="49" spans="1:10" ht="14" x14ac:dyDescent="0.2">
      <c r="A49" s="10">
        <v>44895</v>
      </c>
      <c r="B49" s="10">
        <v>44899</v>
      </c>
      <c r="C49" s="7">
        <f>Table1[[#This Row],[Check-out Date]]-Table1[[#This Row],[Check-in Date]]</f>
        <v>4</v>
      </c>
      <c r="D49" s="7" t="s">
        <v>295</v>
      </c>
      <c r="E49" s="7" t="s">
        <v>805</v>
      </c>
      <c r="F49" s="14">
        <v>378.33</v>
      </c>
      <c r="G49" s="14">
        <f>Table1[[#This Row],[FULL AMOUNT usd]]*20</f>
        <v>7566.5999999999995</v>
      </c>
      <c r="H49" s="8">
        <f t="shared" si="0"/>
        <v>75.665999999999997</v>
      </c>
      <c r="I49" s="10" t="s">
        <v>785</v>
      </c>
      <c r="J49" s="24" t="str">
        <f t="shared" si="1"/>
        <v>2022-11</v>
      </c>
    </row>
    <row r="50" spans="1:10" ht="14" x14ac:dyDescent="0.2">
      <c r="A50" s="10">
        <v>44898</v>
      </c>
      <c r="B50" s="10">
        <v>44902</v>
      </c>
      <c r="C50" s="7">
        <f>Table1[[#This Row],[Check-out Date]]-Table1[[#This Row],[Check-in Date]]</f>
        <v>4</v>
      </c>
      <c r="D50" s="7" t="s">
        <v>295</v>
      </c>
      <c r="E50" s="7" t="s">
        <v>804</v>
      </c>
      <c r="F50" s="14">
        <v>258.55</v>
      </c>
      <c r="G50" s="14">
        <f>Table1[[#This Row],[FULL AMOUNT usd]]*20</f>
        <v>5171</v>
      </c>
      <c r="H50" s="8">
        <f t="shared" si="0"/>
        <v>51.710000000000008</v>
      </c>
      <c r="I50" s="10" t="s">
        <v>810</v>
      </c>
      <c r="J50" s="24" t="str">
        <f t="shared" si="1"/>
        <v>2022-12</v>
      </c>
    </row>
    <row r="51" spans="1:10" ht="14" x14ac:dyDescent="0.2">
      <c r="A51" s="10">
        <v>44899</v>
      </c>
      <c r="B51" s="10">
        <v>44903</v>
      </c>
      <c r="C51" s="7">
        <f>Table1[[#This Row],[Check-out Date]]-Table1[[#This Row],[Check-in Date]]</f>
        <v>4</v>
      </c>
      <c r="D51" s="7" t="s">
        <v>296</v>
      </c>
      <c r="E51" s="7" t="s">
        <v>803</v>
      </c>
      <c r="F51" s="14">
        <v>378.33</v>
      </c>
      <c r="G51" s="14">
        <f>Table1[[#This Row],[FULL AMOUNT usd]]*20</f>
        <v>7566.5999999999995</v>
      </c>
      <c r="H51" s="8">
        <f t="shared" si="0"/>
        <v>75.665999999999997</v>
      </c>
      <c r="I51" s="10" t="s">
        <v>810</v>
      </c>
      <c r="J51" s="24" t="str">
        <f t="shared" si="1"/>
        <v>2022-12</v>
      </c>
    </row>
    <row r="52" spans="1:10" ht="14" x14ac:dyDescent="0.2">
      <c r="A52" s="10">
        <v>44903</v>
      </c>
      <c r="B52" s="10">
        <v>44906</v>
      </c>
      <c r="C52" s="7">
        <f>Table1[[#This Row],[Check-out Date]]-Table1[[#This Row],[Check-in Date]]</f>
        <v>3</v>
      </c>
      <c r="D52" s="7" t="s">
        <v>296</v>
      </c>
      <c r="E52" s="7" t="s">
        <v>806</v>
      </c>
      <c r="F52" s="14">
        <v>300.7</v>
      </c>
      <c r="G52" s="14">
        <f>Table1[[#This Row],[FULL AMOUNT usd]]*20</f>
        <v>6014</v>
      </c>
      <c r="H52" s="8">
        <f t="shared" si="0"/>
        <v>60.14</v>
      </c>
      <c r="I52" s="10" t="s">
        <v>974</v>
      </c>
      <c r="J52" s="24" t="str">
        <f t="shared" si="1"/>
        <v>2022-12</v>
      </c>
    </row>
    <row r="53" spans="1:10" ht="14" x14ac:dyDescent="0.2">
      <c r="A53" s="10">
        <v>44915</v>
      </c>
      <c r="B53" s="10">
        <v>44920</v>
      </c>
      <c r="C53" s="7">
        <f>Table1[[#This Row],[Check-out Date]]-Table1[[#This Row],[Check-in Date]]</f>
        <v>5</v>
      </c>
      <c r="D53" s="7" t="s">
        <v>296</v>
      </c>
      <c r="E53" s="7" t="s">
        <v>807</v>
      </c>
      <c r="F53" s="14">
        <v>523.76</v>
      </c>
      <c r="G53" s="14">
        <f>Table1[[#This Row],[FULL AMOUNT usd]]*20</f>
        <v>10475.200000000001</v>
      </c>
      <c r="H53" s="8">
        <f t="shared" si="0"/>
        <v>104.75200000000001</v>
      </c>
      <c r="I53" s="10" t="s">
        <v>785</v>
      </c>
      <c r="J53" s="24" t="str">
        <f t="shared" si="1"/>
        <v>2022-12</v>
      </c>
    </row>
    <row r="54" spans="1:10" ht="14" x14ac:dyDescent="0.2">
      <c r="A54" s="10">
        <v>44916</v>
      </c>
      <c r="B54" s="10">
        <v>44920</v>
      </c>
      <c r="C54" s="7">
        <f>Table1[[#This Row],[Check-out Date]]-Table1[[#This Row],[Check-in Date]]</f>
        <v>4</v>
      </c>
      <c r="D54" s="7" t="s">
        <v>295</v>
      </c>
      <c r="E54" s="7" t="s">
        <v>808</v>
      </c>
      <c r="F54" s="14">
        <v>272.11</v>
      </c>
      <c r="G54" s="14">
        <f>Table1[[#This Row],[FULL AMOUNT usd]]*20</f>
        <v>5442.2000000000007</v>
      </c>
      <c r="H54" s="8">
        <f t="shared" si="0"/>
        <v>54.422000000000004</v>
      </c>
      <c r="I54" s="10" t="s">
        <v>785</v>
      </c>
      <c r="J54" s="24" t="str">
        <f t="shared" si="1"/>
        <v>2022-12</v>
      </c>
    </row>
    <row r="55" spans="1:10" ht="14" x14ac:dyDescent="0.2">
      <c r="A55" s="10">
        <v>44920</v>
      </c>
      <c r="B55" s="10">
        <v>44925</v>
      </c>
      <c r="C55" s="7">
        <f>Table1[[#This Row],[Check-out Date]]-Table1[[#This Row],[Check-in Date]]</f>
        <v>5</v>
      </c>
      <c r="D55" s="7" t="s">
        <v>295</v>
      </c>
      <c r="E55" s="7" t="s">
        <v>809</v>
      </c>
      <c r="F55" s="14">
        <v>1183.68</v>
      </c>
      <c r="G55" s="14">
        <f>Table1[[#This Row],[FULL AMOUNT usd]]*20</f>
        <v>23673.600000000002</v>
      </c>
      <c r="H55" s="8">
        <f t="shared" si="0"/>
        <v>236.73600000000002</v>
      </c>
      <c r="I55" s="10" t="s">
        <v>785</v>
      </c>
      <c r="J55" s="24" t="str">
        <f t="shared" si="1"/>
        <v>2022-12</v>
      </c>
    </row>
    <row r="56" spans="1:10" ht="14" x14ac:dyDescent="0.2">
      <c r="A56" s="10">
        <v>44920</v>
      </c>
      <c r="B56" s="10">
        <v>44922</v>
      </c>
      <c r="C56" s="7">
        <f>Table1[[#This Row],[Check-out Date]]-Table1[[#This Row],[Check-in Date]]</f>
        <v>2</v>
      </c>
      <c r="D56" s="7" t="s">
        <v>296</v>
      </c>
      <c r="E56" s="7" t="s">
        <v>811</v>
      </c>
      <c r="F56" s="14">
        <v>472.02</v>
      </c>
      <c r="G56" s="14">
        <f>Table1[[#This Row],[FULL AMOUNT usd]]*20</f>
        <v>9440.4</v>
      </c>
      <c r="H56" s="8">
        <f t="shared" si="0"/>
        <v>94.403999999999996</v>
      </c>
      <c r="I56" s="10" t="s">
        <v>785</v>
      </c>
      <c r="J56" s="24" t="str">
        <f t="shared" si="1"/>
        <v>2022-12</v>
      </c>
    </row>
    <row r="57" spans="1:10" ht="14" x14ac:dyDescent="0.2">
      <c r="A57" s="10">
        <v>44923</v>
      </c>
      <c r="B57" s="10">
        <v>44925</v>
      </c>
      <c r="C57" s="7">
        <f>Table1[[#This Row],[Check-out Date]]-Table1[[#This Row],[Check-in Date]]</f>
        <v>2</v>
      </c>
      <c r="D57" s="7" t="s">
        <v>297</v>
      </c>
      <c r="E57" s="7" t="s">
        <v>779</v>
      </c>
      <c r="F57" s="14">
        <v>160</v>
      </c>
      <c r="G57" s="14">
        <f>Table1[[#This Row],[FULL AMOUNT usd]]*20</f>
        <v>3200</v>
      </c>
      <c r="H57" s="8">
        <f t="shared" si="0"/>
        <v>32</v>
      </c>
      <c r="I57" s="10" t="s">
        <v>810</v>
      </c>
      <c r="J57" s="24" t="str">
        <f t="shared" si="1"/>
        <v>2022-12</v>
      </c>
    </row>
    <row r="58" spans="1:10" ht="14" x14ac:dyDescent="0.2">
      <c r="A58" s="10">
        <v>44923</v>
      </c>
      <c r="B58" s="10">
        <v>44925</v>
      </c>
      <c r="C58" s="7">
        <f>Table1[[#This Row],[Check-out Date]]-Table1[[#This Row],[Check-in Date]]</f>
        <v>2</v>
      </c>
      <c r="D58" s="7" t="s">
        <v>297</v>
      </c>
      <c r="E58" s="7" t="s">
        <v>779</v>
      </c>
      <c r="F58" s="14">
        <v>110</v>
      </c>
      <c r="G58" s="14">
        <f>Table1[[#This Row],[FULL AMOUNT usd]]*20</f>
        <v>2200</v>
      </c>
      <c r="H58" s="8">
        <f t="shared" si="0"/>
        <v>22</v>
      </c>
      <c r="I58" s="10" t="s">
        <v>785</v>
      </c>
      <c r="J58" s="24" t="str">
        <f t="shared" si="1"/>
        <v>2022-12</v>
      </c>
    </row>
    <row r="59" spans="1:10" x14ac:dyDescent="0.15">
      <c r="A59" s="10">
        <v>44923</v>
      </c>
      <c r="B59" s="10">
        <v>44925</v>
      </c>
      <c r="C59" s="7">
        <f>Table1[[#This Row],[Check-out Date]]-Table1[[#This Row],[Check-in Date]]</f>
        <v>2</v>
      </c>
      <c r="D59" s="7" t="s">
        <v>297</v>
      </c>
      <c r="F59" s="14">
        <v>160</v>
      </c>
      <c r="G59" s="14">
        <f>Table1[[#This Row],[FULL AMOUNT usd]]*20</f>
        <v>3200</v>
      </c>
      <c r="H59" s="8">
        <f t="shared" si="0"/>
        <v>32</v>
      </c>
      <c r="I59" s="7" t="s">
        <v>785</v>
      </c>
      <c r="J59" s="2" t="str">
        <f t="shared" si="1"/>
        <v>2022-12</v>
      </c>
    </row>
    <row r="60" spans="1:10" x14ac:dyDescent="0.15">
      <c r="A60" s="10">
        <v>44923</v>
      </c>
      <c r="B60" s="10">
        <v>44925</v>
      </c>
      <c r="C60" s="7">
        <f>Table1[[#This Row],[Check-out Date]]-Table1[[#This Row],[Check-in Date]]</f>
        <v>2</v>
      </c>
      <c r="D60" s="7" t="s">
        <v>297</v>
      </c>
      <c r="F60" s="14">
        <v>110</v>
      </c>
      <c r="G60" s="14">
        <f>Table1[[#This Row],[FULL AMOUNT usd]]*20</f>
        <v>2200</v>
      </c>
      <c r="H60" s="8">
        <f t="shared" si="0"/>
        <v>22</v>
      </c>
      <c r="I60" s="7" t="s">
        <v>785</v>
      </c>
      <c r="J60" s="2" t="str">
        <f t="shared" si="1"/>
        <v>2022-12</v>
      </c>
    </row>
    <row r="61" spans="1:10" ht="14" x14ac:dyDescent="0.2">
      <c r="A61" s="10">
        <v>44924</v>
      </c>
      <c r="B61" s="10">
        <v>44929</v>
      </c>
      <c r="C61" s="7">
        <f>Table1[[#This Row],[Check-out Date]]-Table1[[#This Row],[Check-in Date]]</f>
        <v>5</v>
      </c>
      <c r="D61" s="7" t="s">
        <v>296</v>
      </c>
      <c r="E61" s="7" t="s">
        <v>813</v>
      </c>
      <c r="F61" s="14">
        <v>2043.04</v>
      </c>
      <c r="G61" s="14">
        <f>Table1[[#This Row],[FULL AMOUNT usd]]*20</f>
        <v>40860.800000000003</v>
      </c>
      <c r="H61" s="8">
        <f t="shared" si="0"/>
        <v>408.608</v>
      </c>
      <c r="I61" s="10" t="s">
        <v>810</v>
      </c>
      <c r="J61" s="24" t="str">
        <f t="shared" si="1"/>
        <v>2022-12</v>
      </c>
    </row>
    <row r="62" spans="1:10" ht="14" x14ac:dyDescent="0.2">
      <c r="A62" s="10">
        <v>44925</v>
      </c>
      <c r="B62" s="10">
        <v>44928</v>
      </c>
      <c r="C62" s="7">
        <f>Table1[[#This Row],[Check-out Date]]-Table1[[#This Row],[Check-in Date]]</f>
        <v>3</v>
      </c>
      <c r="D62" s="7" t="s">
        <v>295</v>
      </c>
      <c r="E62" s="7" t="s">
        <v>812</v>
      </c>
      <c r="F62" s="14">
        <v>1128.99</v>
      </c>
      <c r="G62" s="14">
        <f>Table1[[#This Row],[FULL AMOUNT usd]]*20</f>
        <v>22579.8</v>
      </c>
      <c r="H62" s="8">
        <f t="shared" si="0"/>
        <v>225.798</v>
      </c>
      <c r="I62" s="10" t="s">
        <v>810</v>
      </c>
      <c r="J62" s="24" t="str">
        <f t="shared" si="1"/>
        <v>2022-12</v>
      </c>
    </row>
    <row r="63" spans="1:10" x14ac:dyDescent="0.15">
      <c r="A63" s="10">
        <v>44925</v>
      </c>
      <c r="B63" s="10">
        <v>44957</v>
      </c>
      <c r="C63" s="7">
        <f>Table1[[#This Row],[Check-out Date]]-Table1[[#This Row],[Check-in Date]]</f>
        <v>32</v>
      </c>
      <c r="D63" s="7" t="s">
        <v>297</v>
      </c>
      <c r="F63" s="14">
        <v>2500</v>
      </c>
      <c r="G63" s="14">
        <f>Table1[[#This Row],[FULL AMOUNT usd]]*20</f>
        <v>50000</v>
      </c>
      <c r="H63" s="8">
        <f t="shared" si="0"/>
        <v>500</v>
      </c>
      <c r="I63" s="7" t="s">
        <v>785</v>
      </c>
      <c r="J63" s="2" t="str">
        <f t="shared" si="1"/>
        <v>2022-12</v>
      </c>
    </row>
    <row r="64" spans="1:10" x14ac:dyDescent="0.15">
      <c r="A64" s="10">
        <v>44926</v>
      </c>
      <c r="B64" s="10">
        <v>44928</v>
      </c>
      <c r="C64" s="7">
        <f>Table1[[#This Row],[Check-out Date]]-Table1[[#This Row],[Check-in Date]]</f>
        <v>2</v>
      </c>
      <c r="D64" s="7" t="s">
        <v>297</v>
      </c>
      <c r="F64" s="14">
        <v>170</v>
      </c>
      <c r="G64" s="14">
        <f>Table1[[#This Row],[FULL AMOUNT usd]]*20</f>
        <v>3400</v>
      </c>
      <c r="H64" s="8">
        <f t="shared" si="0"/>
        <v>34</v>
      </c>
      <c r="I64" s="7" t="s">
        <v>785</v>
      </c>
      <c r="J64" s="2" t="str">
        <f t="shared" si="1"/>
        <v>2022-12</v>
      </c>
    </row>
    <row r="65" spans="1:10" ht="14" x14ac:dyDescent="0.2">
      <c r="A65" s="10">
        <v>44928</v>
      </c>
      <c r="B65" s="10">
        <v>44932</v>
      </c>
      <c r="C65" s="7">
        <f>Table1[[#This Row],[Check-out Date]]-Table1[[#This Row],[Check-in Date]]</f>
        <v>4</v>
      </c>
      <c r="D65" s="7" t="s">
        <v>297</v>
      </c>
      <c r="E65" s="7" t="s">
        <v>814</v>
      </c>
      <c r="F65" s="14">
        <v>694.74</v>
      </c>
      <c r="G65" s="14">
        <f>Table1[[#This Row],[FULL AMOUNT usd]]*20</f>
        <v>13894.8</v>
      </c>
      <c r="H65" s="8">
        <f t="shared" si="0"/>
        <v>138.94800000000001</v>
      </c>
      <c r="I65" s="10" t="s">
        <v>810</v>
      </c>
      <c r="J65" s="24" t="str">
        <f t="shared" si="1"/>
        <v>2023-01</v>
      </c>
    </row>
    <row r="66" spans="1:10" x14ac:dyDescent="0.15">
      <c r="A66" s="10">
        <v>44928</v>
      </c>
      <c r="B66" s="10">
        <v>44932</v>
      </c>
      <c r="C66" s="7">
        <f>Table1[[#This Row],[Check-out Date]]-Table1[[#This Row],[Check-in Date]]</f>
        <v>4</v>
      </c>
      <c r="D66" s="7" t="s">
        <v>297</v>
      </c>
      <c r="F66" s="14">
        <v>694.74</v>
      </c>
      <c r="G66" s="14">
        <f>Table1[[#This Row],[FULL AMOUNT usd]]*20</f>
        <v>13894.8</v>
      </c>
      <c r="H66" s="8">
        <f t="shared" ref="H66:H129" si="2">F66*0.2</f>
        <v>138.94800000000001</v>
      </c>
      <c r="I66" s="7" t="s">
        <v>785</v>
      </c>
      <c r="J66" s="2" t="str">
        <f t="shared" ref="J66:J129" si="3">YEAR(A66)&amp;"-"&amp;TEXT(MONTH(A66),"00")</f>
        <v>2023-01</v>
      </c>
    </row>
    <row r="67" spans="1:10" ht="14" x14ac:dyDescent="0.2">
      <c r="A67" s="10">
        <v>44929</v>
      </c>
      <c r="B67" s="10">
        <v>44933</v>
      </c>
      <c r="C67" s="7">
        <f>Table1[[#This Row],[Check-out Date]]-Table1[[#This Row],[Check-in Date]]</f>
        <v>4</v>
      </c>
      <c r="D67" s="7" t="s">
        <v>295</v>
      </c>
      <c r="E67" s="7" t="s">
        <v>815</v>
      </c>
      <c r="F67" s="14">
        <v>785.13</v>
      </c>
      <c r="G67" s="14">
        <f>Table1[[#This Row],[FULL AMOUNT usd]]*20</f>
        <v>15702.6</v>
      </c>
      <c r="H67" s="8">
        <f t="shared" si="2"/>
        <v>157.02600000000001</v>
      </c>
      <c r="I67" s="10" t="s">
        <v>974</v>
      </c>
      <c r="J67" s="24" t="str">
        <f t="shared" si="3"/>
        <v>2023-01</v>
      </c>
    </row>
    <row r="68" spans="1:10" ht="14" x14ac:dyDescent="0.2">
      <c r="A68" s="10">
        <v>44929</v>
      </c>
      <c r="B68" s="10">
        <v>44933</v>
      </c>
      <c r="C68" s="7">
        <f>Table1[[#This Row],[Check-out Date]]-Table1[[#This Row],[Check-in Date]]</f>
        <v>4</v>
      </c>
      <c r="D68" s="7" t="s">
        <v>295</v>
      </c>
      <c r="E68" s="7" t="s">
        <v>816</v>
      </c>
      <c r="F68" s="14">
        <v>529.74</v>
      </c>
      <c r="G68" s="14">
        <f>Table1[[#This Row],[FULL AMOUNT usd]]*20</f>
        <v>10594.8</v>
      </c>
      <c r="H68" s="8">
        <f t="shared" si="2"/>
        <v>105.94800000000001</v>
      </c>
      <c r="I68" s="10" t="s">
        <v>840</v>
      </c>
      <c r="J68" s="24" t="str">
        <f t="shared" si="3"/>
        <v>2023-01</v>
      </c>
    </row>
    <row r="69" spans="1:10" ht="14" x14ac:dyDescent="0.2">
      <c r="A69" s="10">
        <v>44931</v>
      </c>
      <c r="B69" s="10">
        <v>44934</v>
      </c>
      <c r="C69" s="7">
        <f>Table1[[#This Row],[Check-out Date]]-Table1[[#This Row],[Check-in Date]]</f>
        <v>3</v>
      </c>
      <c r="D69" s="7" t="s">
        <v>296</v>
      </c>
      <c r="E69" s="7" t="s">
        <v>818</v>
      </c>
      <c r="F69" s="14">
        <v>622.77</v>
      </c>
      <c r="G69" s="14">
        <f>Table1[[#This Row],[FULL AMOUNT usd]]*20</f>
        <v>12455.4</v>
      </c>
      <c r="H69" s="8">
        <f t="shared" si="2"/>
        <v>124.554</v>
      </c>
      <c r="I69" s="10" t="s">
        <v>785</v>
      </c>
      <c r="J69" s="24" t="str">
        <f t="shared" si="3"/>
        <v>2023-01</v>
      </c>
    </row>
    <row r="70" spans="1:10" ht="14" x14ac:dyDescent="0.2">
      <c r="A70" s="10">
        <v>44933</v>
      </c>
      <c r="B70" s="10">
        <v>44940</v>
      </c>
      <c r="C70" s="7">
        <f>Table1[[#This Row],[Check-out Date]]-Table1[[#This Row],[Check-in Date]]</f>
        <v>7</v>
      </c>
      <c r="D70" s="7" t="s">
        <v>297</v>
      </c>
      <c r="E70" s="7" t="s">
        <v>817</v>
      </c>
      <c r="F70" s="14">
        <v>1120</v>
      </c>
      <c r="G70" s="14">
        <f>Table1[[#This Row],[FULL AMOUNT usd]]*20</f>
        <v>22400</v>
      </c>
      <c r="H70" s="8">
        <f t="shared" si="2"/>
        <v>224</v>
      </c>
      <c r="I70" s="10" t="s">
        <v>840</v>
      </c>
      <c r="J70" s="24" t="str">
        <f t="shared" si="3"/>
        <v>2023-01</v>
      </c>
    </row>
    <row r="71" spans="1:10" ht="14" x14ac:dyDescent="0.2">
      <c r="A71" s="10">
        <v>44933</v>
      </c>
      <c r="B71" s="10">
        <v>44936</v>
      </c>
      <c r="C71" s="7">
        <f>Table1[[#This Row],[Check-out Date]]-Table1[[#This Row],[Check-in Date]]</f>
        <v>3</v>
      </c>
      <c r="D71" s="7" t="s">
        <v>295</v>
      </c>
      <c r="E71" s="7" t="s">
        <v>819</v>
      </c>
      <c r="F71" s="14">
        <v>908.97</v>
      </c>
      <c r="G71" s="14">
        <f>Table1[[#This Row],[FULL AMOUNT usd]]*20</f>
        <v>18179.400000000001</v>
      </c>
      <c r="H71" s="8">
        <f t="shared" si="2"/>
        <v>181.79400000000001</v>
      </c>
      <c r="I71" s="10" t="s">
        <v>810</v>
      </c>
      <c r="J71" s="24" t="str">
        <f t="shared" si="3"/>
        <v>2023-01</v>
      </c>
    </row>
    <row r="72" spans="1:10" x14ac:dyDescent="0.15">
      <c r="A72" s="10">
        <v>44933</v>
      </c>
      <c r="B72" s="10">
        <v>44940</v>
      </c>
      <c r="C72" s="7">
        <f>Table1[[#This Row],[Check-out Date]]-Table1[[#This Row],[Check-in Date]]</f>
        <v>7</v>
      </c>
      <c r="D72" s="7" t="s">
        <v>297</v>
      </c>
      <c r="F72" s="14">
        <v>1120</v>
      </c>
      <c r="G72" s="14">
        <f>Table1[[#This Row],[FULL AMOUNT usd]]*20</f>
        <v>22400</v>
      </c>
      <c r="H72" s="8">
        <f t="shared" si="2"/>
        <v>224</v>
      </c>
      <c r="I72" s="7" t="s">
        <v>785</v>
      </c>
      <c r="J72" s="2" t="str">
        <f t="shared" si="3"/>
        <v>2023-01</v>
      </c>
    </row>
    <row r="73" spans="1:10" ht="14" x14ac:dyDescent="0.2">
      <c r="A73" s="10">
        <v>44934</v>
      </c>
      <c r="B73" s="10">
        <v>44938</v>
      </c>
      <c r="C73" s="7">
        <f>Table1[[#This Row],[Check-out Date]]-Table1[[#This Row],[Check-in Date]]</f>
        <v>4</v>
      </c>
      <c r="D73" s="7" t="s">
        <v>296</v>
      </c>
      <c r="E73" s="7" t="s">
        <v>822</v>
      </c>
      <c r="F73" s="14">
        <v>475.92</v>
      </c>
      <c r="G73" s="14">
        <f>Table1[[#This Row],[FULL AMOUNT usd]]*20</f>
        <v>9518.4</v>
      </c>
      <c r="H73" s="8">
        <f t="shared" si="2"/>
        <v>95.184000000000012</v>
      </c>
      <c r="I73" s="10" t="s">
        <v>810</v>
      </c>
      <c r="J73" s="24" t="str">
        <f t="shared" si="3"/>
        <v>2023-01</v>
      </c>
    </row>
    <row r="74" spans="1:10" ht="14" x14ac:dyDescent="0.2">
      <c r="A74" s="10">
        <v>44937</v>
      </c>
      <c r="B74" s="10">
        <v>44941</v>
      </c>
      <c r="C74" s="7">
        <f>Table1[[#This Row],[Check-out Date]]-Table1[[#This Row],[Check-in Date]]</f>
        <v>4</v>
      </c>
      <c r="D74" s="7" t="s">
        <v>295</v>
      </c>
      <c r="E74" s="7" t="s">
        <v>821</v>
      </c>
      <c r="F74" s="14">
        <v>326.35000000000002</v>
      </c>
      <c r="G74" s="14">
        <f>Table1[[#This Row],[FULL AMOUNT usd]]*20</f>
        <v>6527</v>
      </c>
      <c r="H74" s="8">
        <f t="shared" si="2"/>
        <v>65.27000000000001</v>
      </c>
      <c r="I74" s="10" t="s">
        <v>974</v>
      </c>
      <c r="J74" s="24" t="str">
        <f t="shared" si="3"/>
        <v>2023-01</v>
      </c>
    </row>
    <row r="75" spans="1:10" ht="14" x14ac:dyDescent="0.2">
      <c r="A75" s="10">
        <v>44938</v>
      </c>
      <c r="B75" s="10">
        <v>44944</v>
      </c>
      <c r="C75" s="7">
        <f>Table1[[#This Row],[Check-out Date]]-Table1[[#This Row],[Check-in Date]]</f>
        <v>6</v>
      </c>
      <c r="D75" s="7" t="s">
        <v>296</v>
      </c>
      <c r="E75" s="7" t="s">
        <v>823</v>
      </c>
      <c r="F75" s="14">
        <v>716.64</v>
      </c>
      <c r="G75" s="14">
        <f>Table1[[#This Row],[FULL AMOUNT usd]]*20</f>
        <v>14332.8</v>
      </c>
      <c r="H75" s="8">
        <f t="shared" si="2"/>
        <v>143.328</v>
      </c>
      <c r="I75" s="10" t="s">
        <v>810</v>
      </c>
      <c r="J75" s="24" t="str">
        <f t="shared" si="3"/>
        <v>2023-01</v>
      </c>
    </row>
    <row r="76" spans="1:10" ht="14" x14ac:dyDescent="0.2">
      <c r="A76" s="10">
        <v>44941</v>
      </c>
      <c r="B76" s="10">
        <v>44969</v>
      </c>
      <c r="C76" s="7">
        <f>Table1[[#This Row],[Check-out Date]]-Table1[[#This Row],[Check-in Date]]</f>
        <v>28</v>
      </c>
      <c r="D76" s="7" t="s">
        <v>295</v>
      </c>
      <c r="E76" s="7" t="s">
        <v>820</v>
      </c>
      <c r="F76" s="14">
        <v>3835.63</v>
      </c>
      <c r="G76" s="14">
        <f>Table1[[#This Row],[FULL AMOUNT usd]]*20</f>
        <v>76712.600000000006</v>
      </c>
      <c r="H76" s="8">
        <f t="shared" si="2"/>
        <v>767.12600000000009</v>
      </c>
      <c r="I76" s="10" t="s">
        <v>974</v>
      </c>
      <c r="J76" s="24" t="str">
        <f t="shared" si="3"/>
        <v>2023-01</v>
      </c>
    </row>
    <row r="77" spans="1:10" ht="14" x14ac:dyDescent="0.2">
      <c r="A77" s="10">
        <v>44962</v>
      </c>
      <c r="B77" s="10">
        <v>44968</v>
      </c>
      <c r="C77" s="7">
        <f>Table1[[#This Row],[Check-out Date]]-Table1[[#This Row],[Check-in Date]]</f>
        <v>6</v>
      </c>
      <c r="D77" s="7" t="s">
        <v>296</v>
      </c>
      <c r="E77" s="7" t="s">
        <v>824</v>
      </c>
      <c r="F77" s="14">
        <v>743</v>
      </c>
      <c r="G77" s="14">
        <f>Table1[[#This Row],[FULL AMOUNT usd]]*20</f>
        <v>14860</v>
      </c>
      <c r="H77" s="8">
        <f t="shared" si="2"/>
        <v>148.6</v>
      </c>
      <c r="I77" s="10" t="s">
        <v>785</v>
      </c>
      <c r="J77" s="24" t="str">
        <f t="shared" si="3"/>
        <v>2023-02</v>
      </c>
    </row>
    <row r="78" spans="1:10" x14ac:dyDescent="0.15">
      <c r="A78" s="10">
        <v>44962</v>
      </c>
      <c r="B78" s="10">
        <v>44968</v>
      </c>
      <c r="C78" s="7">
        <f>Table1[[#This Row],[Check-out Date]]-Table1[[#This Row],[Check-in Date]]</f>
        <v>6</v>
      </c>
      <c r="D78" s="7" t="s">
        <v>297</v>
      </c>
      <c r="F78" s="14">
        <v>110</v>
      </c>
      <c r="G78" s="14">
        <f>Table1[[#This Row],[FULL AMOUNT usd]]*20</f>
        <v>2200</v>
      </c>
      <c r="H78" s="8">
        <f t="shared" si="2"/>
        <v>22</v>
      </c>
      <c r="I78" s="7" t="s">
        <v>785</v>
      </c>
      <c r="J78" s="2" t="str">
        <f t="shared" si="3"/>
        <v>2023-02</v>
      </c>
    </row>
    <row r="79" spans="1:10" ht="14" x14ac:dyDescent="0.2">
      <c r="A79" s="10">
        <v>44965</v>
      </c>
      <c r="B79" s="10">
        <v>44968</v>
      </c>
      <c r="C79" s="7">
        <f>Table1[[#This Row],[Check-out Date]]-Table1[[#This Row],[Check-in Date]]</f>
        <v>3</v>
      </c>
      <c r="D79" s="7" t="s">
        <v>297</v>
      </c>
      <c r="E79" s="7" t="s">
        <v>826</v>
      </c>
      <c r="F79" s="14">
        <v>375.81</v>
      </c>
      <c r="G79" s="14">
        <f>Table1[[#This Row],[FULL AMOUNT usd]]*20</f>
        <v>7516.2</v>
      </c>
      <c r="H79" s="8">
        <f t="shared" si="2"/>
        <v>75.162000000000006</v>
      </c>
      <c r="I79" s="10" t="s">
        <v>787</v>
      </c>
      <c r="J79" s="24" t="str">
        <f t="shared" si="3"/>
        <v>2023-02</v>
      </c>
    </row>
    <row r="80" spans="1:10" x14ac:dyDescent="0.15">
      <c r="A80" s="10">
        <v>44965</v>
      </c>
      <c r="B80" s="10">
        <v>44968</v>
      </c>
      <c r="C80" s="7">
        <f>Table1[[#This Row],[Check-out Date]]-Table1[[#This Row],[Check-in Date]]</f>
        <v>3</v>
      </c>
      <c r="D80" s="7" t="s">
        <v>297</v>
      </c>
      <c r="F80" s="14">
        <v>375.81</v>
      </c>
      <c r="G80" s="14">
        <f>Table1[[#This Row],[FULL AMOUNT usd]]*20</f>
        <v>7516.2</v>
      </c>
      <c r="H80" s="8">
        <f t="shared" si="2"/>
        <v>75.162000000000006</v>
      </c>
      <c r="I80" s="7" t="s">
        <v>785</v>
      </c>
      <c r="J80" s="2" t="str">
        <f t="shared" si="3"/>
        <v>2023-02</v>
      </c>
    </row>
    <row r="81" spans="1:10" ht="14" x14ac:dyDescent="0.2">
      <c r="A81" s="10">
        <v>44967</v>
      </c>
      <c r="B81" s="10">
        <v>44974</v>
      </c>
      <c r="C81" s="7">
        <f>Table1[[#This Row],[Check-out Date]]-Table1[[#This Row],[Check-in Date]]</f>
        <v>7</v>
      </c>
      <c r="D81" s="7" t="s">
        <v>296</v>
      </c>
      <c r="E81" s="7" t="s">
        <v>825</v>
      </c>
      <c r="F81" s="14">
        <v>786</v>
      </c>
      <c r="G81" s="14">
        <f>Table1[[#This Row],[FULL AMOUNT usd]]*20</f>
        <v>15720</v>
      </c>
      <c r="H81" s="8">
        <f t="shared" si="2"/>
        <v>157.20000000000002</v>
      </c>
      <c r="I81" s="10" t="s">
        <v>974</v>
      </c>
      <c r="J81" s="24" t="str">
        <f t="shared" si="3"/>
        <v>2023-02</v>
      </c>
    </row>
    <row r="82" spans="1:10" ht="14" x14ac:dyDescent="0.2">
      <c r="A82" s="10">
        <v>44968</v>
      </c>
      <c r="B82" s="10">
        <v>44971</v>
      </c>
      <c r="C82" s="7">
        <f>Table1[[#This Row],[Check-out Date]]-Table1[[#This Row],[Check-in Date]]</f>
        <v>3</v>
      </c>
      <c r="D82" s="7" t="s">
        <v>297</v>
      </c>
      <c r="E82" s="7" t="s">
        <v>827</v>
      </c>
      <c r="F82" s="14">
        <v>407</v>
      </c>
      <c r="G82" s="14">
        <f>Table1[[#This Row],[FULL AMOUNT usd]]*20</f>
        <v>8140</v>
      </c>
      <c r="H82" s="8">
        <f t="shared" si="2"/>
        <v>81.400000000000006</v>
      </c>
      <c r="I82" s="10" t="s">
        <v>974</v>
      </c>
      <c r="J82" s="24" t="str">
        <f t="shared" si="3"/>
        <v>2023-02</v>
      </c>
    </row>
    <row r="83" spans="1:10" x14ac:dyDescent="0.15">
      <c r="A83" s="23">
        <v>44968</v>
      </c>
      <c r="B83" s="10">
        <v>44971</v>
      </c>
      <c r="C83" s="7">
        <f>Table1[[#This Row],[Check-out Date]]-Table1[[#This Row],[Check-in Date]]</f>
        <v>3</v>
      </c>
      <c r="D83" s="7" t="s">
        <v>297</v>
      </c>
      <c r="F83" s="14">
        <v>407</v>
      </c>
      <c r="G83" s="14">
        <f>Table1[[#This Row],[FULL AMOUNT usd]]*20</f>
        <v>8140</v>
      </c>
      <c r="H83" s="8">
        <f t="shared" si="2"/>
        <v>81.400000000000006</v>
      </c>
      <c r="I83" s="7" t="s">
        <v>785</v>
      </c>
      <c r="J83" s="2" t="str">
        <f t="shared" si="3"/>
        <v>2023-02</v>
      </c>
    </row>
    <row r="84" spans="1:10" x14ac:dyDescent="0.15">
      <c r="A84" s="10">
        <v>44968</v>
      </c>
      <c r="B84" s="10">
        <v>44972</v>
      </c>
      <c r="C84" s="7">
        <f>Table1[[#This Row],[Check-out Date]]-Table1[[#This Row],[Check-in Date]]</f>
        <v>4</v>
      </c>
      <c r="D84" s="7" t="s">
        <v>297</v>
      </c>
      <c r="F84" s="14">
        <v>480</v>
      </c>
      <c r="G84" s="14">
        <f>Table1[[#This Row],[FULL AMOUNT usd]]*20</f>
        <v>9600</v>
      </c>
      <c r="H84" s="8">
        <f t="shared" si="2"/>
        <v>96</v>
      </c>
      <c r="I84" s="7" t="s">
        <v>785</v>
      </c>
      <c r="J84" s="2" t="str">
        <f t="shared" si="3"/>
        <v>2023-02</v>
      </c>
    </row>
    <row r="85" spans="1:10" ht="14" x14ac:dyDescent="0.2">
      <c r="A85" s="10">
        <v>44971</v>
      </c>
      <c r="B85" s="10">
        <v>44976</v>
      </c>
      <c r="C85" s="7">
        <f>Table1[[#This Row],[Check-out Date]]-Table1[[#This Row],[Check-in Date]]</f>
        <v>5</v>
      </c>
      <c r="D85" s="7" t="s">
        <v>295</v>
      </c>
      <c r="E85" s="7" t="s">
        <v>828</v>
      </c>
      <c r="F85" s="14">
        <v>714</v>
      </c>
      <c r="G85" s="14">
        <f>Table1[[#This Row],[FULL AMOUNT usd]]*20</f>
        <v>14280</v>
      </c>
      <c r="H85" s="8">
        <f t="shared" si="2"/>
        <v>142.80000000000001</v>
      </c>
      <c r="I85" s="10" t="s">
        <v>810</v>
      </c>
      <c r="J85" s="24" t="str">
        <f t="shared" si="3"/>
        <v>2023-02</v>
      </c>
    </row>
    <row r="86" spans="1:10" ht="14" x14ac:dyDescent="0.2">
      <c r="A86" s="10">
        <v>44978</v>
      </c>
      <c r="B86" s="10">
        <v>44983</v>
      </c>
      <c r="C86" s="7">
        <f>Table1[[#This Row],[Check-out Date]]-Table1[[#This Row],[Check-in Date]]</f>
        <v>5</v>
      </c>
      <c r="D86" s="7" t="s">
        <v>297</v>
      </c>
      <c r="E86" s="7" t="s">
        <v>779</v>
      </c>
      <c r="F86" s="14">
        <v>500</v>
      </c>
      <c r="G86" s="14">
        <f>Table1[[#This Row],[FULL AMOUNT usd]]*20</f>
        <v>10000</v>
      </c>
      <c r="H86" s="8">
        <f t="shared" si="2"/>
        <v>100</v>
      </c>
      <c r="I86" s="10" t="s">
        <v>785</v>
      </c>
      <c r="J86" s="24" t="str">
        <f t="shared" si="3"/>
        <v>2023-02</v>
      </c>
    </row>
    <row r="87" spans="1:10" x14ac:dyDescent="0.15">
      <c r="A87" s="23">
        <v>44978</v>
      </c>
      <c r="B87" s="23">
        <v>44983</v>
      </c>
      <c r="C87" s="7">
        <f>Table1[[#This Row],[Check-out Date]]-Table1[[#This Row],[Check-in Date]]</f>
        <v>5</v>
      </c>
      <c r="D87" s="7" t="s">
        <v>297</v>
      </c>
      <c r="F87" s="14">
        <v>500</v>
      </c>
      <c r="G87" s="14">
        <f>Table1[[#This Row],[FULL AMOUNT usd]]*20</f>
        <v>10000</v>
      </c>
      <c r="H87" s="8">
        <f t="shared" si="2"/>
        <v>100</v>
      </c>
      <c r="I87" s="7" t="s">
        <v>785</v>
      </c>
      <c r="J87" s="2" t="str">
        <f t="shared" si="3"/>
        <v>2023-02</v>
      </c>
    </row>
    <row r="88" spans="1:10" ht="14" x14ac:dyDescent="0.2">
      <c r="A88" s="10">
        <v>44979</v>
      </c>
      <c r="B88" s="10">
        <v>44984</v>
      </c>
      <c r="C88" s="7">
        <f>Table1[[#This Row],[Check-out Date]]-Table1[[#This Row],[Check-in Date]]</f>
        <v>5</v>
      </c>
      <c r="D88" s="7" t="s">
        <v>295</v>
      </c>
      <c r="E88" s="7" t="s">
        <v>829</v>
      </c>
      <c r="F88" s="14">
        <v>573.47</v>
      </c>
      <c r="G88" s="14">
        <f>Table1[[#This Row],[FULL AMOUNT usd]]*20</f>
        <v>11469.400000000001</v>
      </c>
      <c r="H88" s="8">
        <f t="shared" si="2"/>
        <v>114.69400000000002</v>
      </c>
      <c r="I88" s="10" t="s">
        <v>974</v>
      </c>
      <c r="J88" s="24" t="str">
        <f t="shared" si="3"/>
        <v>2023-02</v>
      </c>
    </row>
    <row r="89" spans="1:10" ht="14" x14ac:dyDescent="0.2">
      <c r="A89" s="10">
        <v>44982</v>
      </c>
      <c r="B89" s="10">
        <v>45006</v>
      </c>
      <c r="C89" s="7">
        <f>Table1[[#This Row],[Check-out Date]]-Table1[[#This Row],[Check-in Date]]</f>
        <v>24</v>
      </c>
      <c r="D89" s="7" t="s">
        <v>296</v>
      </c>
      <c r="E89" s="7" t="s">
        <v>830</v>
      </c>
      <c r="F89" s="14">
        <v>515.28</v>
      </c>
      <c r="G89" s="14">
        <f>Table1[[#This Row],[FULL AMOUNT usd]]*20</f>
        <v>10305.599999999999</v>
      </c>
      <c r="H89" s="8">
        <f t="shared" si="2"/>
        <v>103.056</v>
      </c>
      <c r="I89" s="10" t="s">
        <v>810</v>
      </c>
      <c r="J89" s="24" t="str">
        <f t="shared" si="3"/>
        <v>2023-02</v>
      </c>
    </row>
    <row r="90" spans="1:10" ht="14" x14ac:dyDescent="0.2">
      <c r="A90" s="10">
        <v>44982</v>
      </c>
      <c r="B90" s="10">
        <v>45016</v>
      </c>
      <c r="C90" s="7">
        <f>Table1[[#This Row],[Check-out Date]]-Table1[[#This Row],[Check-in Date]]</f>
        <v>34</v>
      </c>
      <c r="D90" s="7" t="s">
        <v>295</v>
      </c>
      <c r="E90" s="7" t="s">
        <v>831</v>
      </c>
      <c r="F90" s="14">
        <v>562.96</v>
      </c>
      <c r="G90" s="14">
        <f>Table1[[#This Row],[FULL AMOUNT usd]]*20</f>
        <v>11259.2</v>
      </c>
      <c r="H90" s="8">
        <f t="shared" si="2"/>
        <v>112.59200000000001</v>
      </c>
      <c r="I90" s="10" t="s">
        <v>785</v>
      </c>
      <c r="J90" s="24" t="str">
        <f t="shared" si="3"/>
        <v>2023-02</v>
      </c>
    </row>
    <row r="91" spans="1:10" ht="14" x14ac:dyDescent="0.2">
      <c r="A91" s="10">
        <v>44985</v>
      </c>
      <c r="B91" s="10">
        <v>44988</v>
      </c>
      <c r="C91" s="7">
        <f>Table1[[#This Row],[Check-out Date]]-Table1[[#This Row],[Check-in Date]]</f>
        <v>3</v>
      </c>
      <c r="D91" s="7" t="s">
        <v>295</v>
      </c>
      <c r="E91" s="7" t="s">
        <v>832</v>
      </c>
      <c r="F91" s="14">
        <v>674.61</v>
      </c>
      <c r="G91" s="14">
        <f>Table1[[#This Row],[FULL AMOUNT usd]]*20</f>
        <v>13492.2</v>
      </c>
      <c r="H91" s="8">
        <f t="shared" si="2"/>
        <v>134.922</v>
      </c>
      <c r="I91" s="10" t="s">
        <v>785</v>
      </c>
      <c r="J91" s="24" t="str">
        <f t="shared" si="3"/>
        <v>2023-02</v>
      </c>
    </row>
    <row r="92" spans="1:10" ht="14" x14ac:dyDescent="0.2">
      <c r="A92" s="10">
        <v>44988</v>
      </c>
      <c r="B92" s="10">
        <v>44991</v>
      </c>
      <c r="C92" s="7">
        <f>Table1[[#This Row],[Check-out Date]]-Table1[[#This Row],[Check-in Date]]</f>
        <v>3</v>
      </c>
      <c r="D92" s="7" t="s">
        <v>295</v>
      </c>
      <c r="E92" s="7" t="s">
        <v>833</v>
      </c>
      <c r="F92" s="14">
        <v>212.75</v>
      </c>
      <c r="G92" s="14">
        <f>Table1[[#This Row],[FULL AMOUNT usd]]*20</f>
        <v>4255</v>
      </c>
      <c r="H92" s="8">
        <f t="shared" si="2"/>
        <v>42.550000000000004</v>
      </c>
      <c r="I92" s="10" t="s">
        <v>785</v>
      </c>
      <c r="J92" s="24" t="str">
        <f t="shared" si="3"/>
        <v>2023-03</v>
      </c>
    </row>
    <row r="93" spans="1:10" ht="14" x14ac:dyDescent="0.2">
      <c r="A93" s="10">
        <v>44988</v>
      </c>
      <c r="B93" s="10">
        <v>44992</v>
      </c>
      <c r="C93" s="7">
        <f>Table1[[#This Row],[Check-out Date]]-Table1[[#This Row],[Check-in Date]]</f>
        <v>4</v>
      </c>
      <c r="D93" s="7" t="s">
        <v>296</v>
      </c>
      <c r="E93" s="7" t="s">
        <v>834</v>
      </c>
      <c r="F93" s="14">
        <v>473.25</v>
      </c>
      <c r="G93" s="14">
        <f>Table1[[#This Row],[FULL AMOUNT usd]]*20</f>
        <v>9465</v>
      </c>
      <c r="H93" s="8">
        <f t="shared" si="2"/>
        <v>94.65</v>
      </c>
      <c r="I93" s="10" t="s">
        <v>785</v>
      </c>
      <c r="J93" s="24" t="str">
        <f t="shared" si="3"/>
        <v>2023-03</v>
      </c>
    </row>
    <row r="94" spans="1:10" ht="14" x14ac:dyDescent="0.2">
      <c r="A94" s="10">
        <v>44997</v>
      </c>
      <c r="B94" s="10">
        <v>45000</v>
      </c>
      <c r="C94" s="7">
        <f>Table1[[#This Row],[Check-out Date]]-Table1[[#This Row],[Check-in Date]]</f>
        <v>3</v>
      </c>
      <c r="D94" s="7" t="s">
        <v>297</v>
      </c>
      <c r="E94" s="7" t="s">
        <v>835</v>
      </c>
      <c r="F94" s="14">
        <v>480</v>
      </c>
      <c r="G94" s="14">
        <f>Table1[[#This Row],[FULL AMOUNT usd]]*20</f>
        <v>9600</v>
      </c>
      <c r="H94" s="8">
        <f t="shared" si="2"/>
        <v>96</v>
      </c>
      <c r="I94" s="10" t="s">
        <v>810</v>
      </c>
      <c r="J94" s="24" t="str">
        <f t="shared" si="3"/>
        <v>2023-03</v>
      </c>
    </row>
    <row r="95" spans="1:10" ht="14" x14ac:dyDescent="0.2">
      <c r="A95" s="10">
        <v>44997</v>
      </c>
      <c r="B95" s="10">
        <v>45000</v>
      </c>
      <c r="C95" s="7">
        <f>Table1[[#This Row],[Check-out Date]]-Table1[[#This Row],[Check-in Date]]</f>
        <v>3</v>
      </c>
      <c r="D95" s="7" t="s">
        <v>297</v>
      </c>
      <c r="E95" s="7" t="s">
        <v>835</v>
      </c>
      <c r="F95" s="14"/>
      <c r="G95" s="14">
        <f>Table1[[#This Row],[FULL AMOUNT usd]]*20</f>
        <v>0</v>
      </c>
      <c r="H95" s="8">
        <f t="shared" si="2"/>
        <v>0</v>
      </c>
      <c r="I95" s="10" t="s">
        <v>974</v>
      </c>
      <c r="J95" s="24" t="str">
        <f t="shared" si="3"/>
        <v>2023-03</v>
      </c>
    </row>
    <row r="96" spans="1:10" x14ac:dyDescent="0.15">
      <c r="A96" s="10">
        <v>44997</v>
      </c>
      <c r="B96" s="10">
        <v>45000</v>
      </c>
      <c r="C96" s="7">
        <f>Table1[[#This Row],[Check-out Date]]-Table1[[#This Row],[Check-in Date]]</f>
        <v>3</v>
      </c>
      <c r="D96" s="7" t="s">
        <v>297</v>
      </c>
      <c r="F96" s="14">
        <v>580</v>
      </c>
      <c r="G96" s="14">
        <f>Table1[[#This Row],[FULL AMOUNT usd]]*20</f>
        <v>11600</v>
      </c>
      <c r="H96" s="8">
        <f t="shared" si="2"/>
        <v>116</v>
      </c>
      <c r="I96" s="7" t="s">
        <v>785</v>
      </c>
      <c r="J96" s="2" t="str">
        <f t="shared" si="3"/>
        <v>2023-03</v>
      </c>
    </row>
    <row r="97" spans="1:10" ht="14" x14ac:dyDescent="0.2">
      <c r="A97" s="10">
        <v>45010</v>
      </c>
      <c r="B97" s="10">
        <v>45014</v>
      </c>
      <c r="C97" s="7">
        <f>Table1[[#This Row],[Check-out Date]]-Table1[[#This Row],[Check-in Date]]</f>
        <v>4</v>
      </c>
      <c r="D97" s="7" t="s">
        <v>295</v>
      </c>
      <c r="E97" s="7" t="s">
        <v>836</v>
      </c>
      <c r="F97" s="14">
        <v>477</v>
      </c>
      <c r="G97" s="14">
        <f>Table1[[#This Row],[FULL AMOUNT usd]]*20</f>
        <v>9540</v>
      </c>
      <c r="H97" s="8">
        <f t="shared" si="2"/>
        <v>95.4</v>
      </c>
      <c r="I97" s="10" t="s">
        <v>974</v>
      </c>
      <c r="J97" s="24" t="str">
        <f t="shared" si="3"/>
        <v>2023-03</v>
      </c>
    </row>
    <row r="98" spans="1:10" ht="14" x14ac:dyDescent="0.2">
      <c r="A98" s="10">
        <v>45015</v>
      </c>
      <c r="B98" s="10">
        <v>45025</v>
      </c>
      <c r="C98" s="7">
        <f>Table1[[#This Row],[Check-out Date]]-Table1[[#This Row],[Check-in Date]]</f>
        <v>10</v>
      </c>
      <c r="D98" s="7" t="s">
        <v>295</v>
      </c>
      <c r="E98" s="7" t="s">
        <v>837</v>
      </c>
      <c r="F98" s="14">
        <v>1046</v>
      </c>
      <c r="G98" s="14">
        <f>Table1[[#This Row],[FULL AMOUNT usd]]*20</f>
        <v>20920</v>
      </c>
      <c r="H98" s="8">
        <f t="shared" si="2"/>
        <v>209.20000000000002</v>
      </c>
      <c r="I98" s="10" t="s">
        <v>810</v>
      </c>
      <c r="J98" s="24" t="str">
        <f t="shared" si="3"/>
        <v>2023-03</v>
      </c>
    </row>
    <row r="99" spans="1:10" ht="14" x14ac:dyDescent="0.2">
      <c r="A99" s="10">
        <v>45017</v>
      </c>
      <c r="B99" s="10">
        <v>45022</v>
      </c>
      <c r="C99" s="7">
        <f>Table1[[#This Row],[Check-out Date]]-Table1[[#This Row],[Check-in Date]]</f>
        <v>5</v>
      </c>
      <c r="D99" s="7" t="s">
        <v>297</v>
      </c>
      <c r="E99" s="7" t="s">
        <v>770</v>
      </c>
      <c r="F99" s="14">
        <v>580</v>
      </c>
      <c r="G99" s="14">
        <f>Table1[[#This Row],[FULL AMOUNT usd]]*20</f>
        <v>11600</v>
      </c>
      <c r="H99" s="8">
        <f t="shared" si="2"/>
        <v>116</v>
      </c>
      <c r="I99" s="10" t="s">
        <v>810</v>
      </c>
      <c r="J99" s="24" t="str">
        <f t="shared" si="3"/>
        <v>2023-04</v>
      </c>
    </row>
    <row r="100" spans="1:10" x14ac:dyDescent="0.15">
      <c r="A100" s="10">
        <v>45017</v>
      </c>
      <c r="B100" s="10">
        <v>45022</v>
      </c>
      <c r="C100" s="7">
        <f>Table1[[#This Row],[Check-out Date]]-Table1[[#This Row],[Check-in Date]]</f>
        <v>5</v>
      </c>
      <c r="D100" s="7" t="s">
        <v>297</v>
      </c>
      <c r="F100" s="14">
        <v>662.18</v>
      </c>
      <c r="G100" s="14">
        <f>Table1[[#This Row],[FULL AMOUNT usd]]*20</f>
        <v>13243.599999999999</v>
      </c>
      <c r="H100" s="8">
        <f t="shared" si="2"/>
        <v>132.43600000000001</v>
      </c>
      <c r="I100" s="7" t="s">
        <v>785</v>
      </c>
      <c r="J100" s="2" t="str">
        <f t="shared" si="3"/>
        <v>2023-04</v>
      </c>
    </row>
    <row r="101" spans="1:10" ht="14" x14ac:dyDescent="0.2">
      <c r="A101" s="10">
        <v>45018</v>
      </c>
      <c r="B101" s="10">
        <v>45025</v>
      </c>
      <c r="C101" s="7">
        <f>Table1[[#This Row],[Check-out Date]]-Table1[[#This Row],[Check-in Date]]</f>
        <v>7</v>
      </c>
      <c r="D101" s="7" t="s">
        <v>295</v>
      </c>
      <c r="E101" s="7" t="s">
        <v>838</v>
      </c>
      <c r="F101" s="14">
        <v>1036.76</v>
      </c>
      <c r="G101" s="14">
        <f>Table1[[#This Row],[FULL AMOUNT usd]]*20</f>
        <v>20735.2</v>
      </c>
      <c r="H101" s="8">
        <f t="shared" si="2"/>
        <v>207.352</v>
      </c>
      <c r="I101" s="10" t="s">
        <v>810</v>
      </c>
      <c r="J101" s="24" t="str">
        <f t="shared" si="3"/>
        <v>2023-04</v>
      </c>
    </row>
    <row r="102" spans="1:10" ht="14" x14ac:dyDescent="0.2">
      <c r="A102" s="10">
        <v>45023</v>
      </c>
      <c r="B102" s="10">
        <v>45027</v>
      </c>
      <c r="C102" s="7">
        <f>Table1[[#This Row],[Check-out Date]]-Table1[[#This Row],[Check-in Date]]</f>
        <v>4</v>
      </c>
      <c r="D102" s="7" t="s">
        <v>297</v>
      </c>
      <c r="E102" s="7" t="s">
        <v>839</v>
      </c>
      <c r="F102" s="14">
        <v>662.18</v>
      </c>
      <c r="G102" s="14">
        <f>Table1[[#This Row],[FULL AMOUNT usd]]*20</f>
        <v>13243.599999999999</v>
      </c>
      <c r="H102" s="8">
        <f t="shared" si="2"/>
        <v>132.43600000000001</v>
      </c>
      <c r="I102" s="10" t="s">
        <v>974</v>
      </c>
      <c r="J102" s="24" t="str">
        <f t="shared" si="3"/>
        <v>2023-04</v>
      </c>
    </row>
    <row r="103" spans="1:10" x14ac:dyDescent="0.15">
      <c r="A103" s="10">
        <v>45023</v>
      </c>
      <c r="B103" s="10">
        <v>45027</v>
      </c>
      <c r="C103" s="7">
        <f>Table1[[#This Row],[Check-out Date]]-Table1[[#This Row],[Check-in Date]]</f>
        <v>4</v>
      </c>
      <c r="D103" s="7" t="s">
        <v>297</v>
      </c>
      <c r="F103" s="14">
        <v>525</v>
      </c>
      <c r="G103" s="14">
        <f>Table1[[#This Row],[FULL AMOUNT usd]]*20</f>
        <v>10500</v>
      </c>
      <c r="H103" s="8">
        <f t="shared" si="2"/>
        <v>105</v>
      </c>
      <c r="I103" s="7" t="s">
        <v>785</v>
      </c>
      <c r="J103" s="2" t="str">
        <f t="shared" si="3"/>
        <v>2023-04</v>
      </c>
    </row>
    <row r="104" spans="1:10" ht="14" x14ac:dyDescent="0.2">
      <c r="A104" s="10">
        <v>45030</v>
      </c>
      <c r="B104" s="10">
        <v>45033</v>
      </c>
      <c r="C104" s="7">
        <f>Table1[[#This Row],[Check-out Date]]-Table1[[#This Row],[Check-in Date]]</f>
        <v>3</v>
      </c>
      <c r="D104" s="7" t="s">
        <v>297</v>
      </c>
      <c r="E104" s="7" t="s">
        <v>841</v>
      </c>
      <c r="F104" s="14">
        <v>525</v>
      </c>
      <c r="G104" s="14">
        <f>Table1[[#This Row],[FULL AMOUNT usd]]*20</f>
        <v>10500</v>
      </c>
      <c r="H104" s="8">
        <f t="shared" si="2"/>
        <v>105</v>
      </c>
      <c r="I104" s="10" t="s">
        <v>785</v>
      </c>
      <c r="J104" s="24" t="str">
        <f t="shared" si="3"/>
        <v>2023-04</v>
      </c>
    </row>
    <row r="105" spans="1:10" ht="14" x14ac:dyDescent="0.2">
      <c r="A105" s="10">
        <v>45030</v>
      </c>
      <c r="B105" s="10">
        <v>45033</v>
      </c>
      <c r="C105" s="7">
        <f>Table1[[#This Row],[Check-out Date]]-Table1[[#This Row],[Check-in Date]]</f>
        <v>3</v>
      </c>
      <c r="D105" s="7" t="s">
        <v>295</v>
      </c>
      <c r="E105" s="7" t="s">
        <v>841</v>
      </c>
      <c r="F105" s="14">
        <v>525</v>
      </c>
      <c r="G105" s="14">
        <f>Table1[[#This Row],[FULL AMOUNT usd]]*20</f>
        <v>10500</v>
      </c>
      <c r="H105" s="8">
        <f t="shared" si="2"/>
        <v>105</v>
      </c>
      <c r="I105" s="10" t="s">
        <v>974</v>
      </c>
      <c r="J105" s="24" t="str">
        <f t="shared" si="3"/>
        <v>2023-04</v>
      </c>
    </row>
    <row r="106" spans="1:10" x14ac:dyDescent="0.15">
      <c r="A106" s="10">
        <v>45030</v>
      </c>
      <c r="B106" s="10">
        <v>45033</v>
      </c>
      <c r="C106" s="7">
        <f>Table1[[#This Row],[Check-out Date]]-Table1[[#This Row],[Check-in Date]]</f>
        <v>3</v>
      </c>
      <c r="D106" s="7" t="s">
        <v>297</v>
      </c>
      <c r="F106" s="14">
        <v>452.71</v>
      </c>
      <c r="G106" s="14">
        <f>Table1[[#This Row],[FULL AMOUNT usd]]*20</f>
        <v>9054.1999999999989</v>
      </c>
      <c r="H106" s="8">
        <f t="shared" si="2"/>
        <v>90.542000000000002</v>
      </c>
      <c r="I106" s="7" t="s">
        <v>785</v>
      </c>
      <c r="J106" s="2" t="str">
        <f t="shared" si="3"/>
        <v>2023-04</v>
      </c>
    </row>
    <row r="107" spans="1:10" ht="14" x14ac:dyDescent="0.2">
      <c r="A107" s="10">
        <v>45033</v>
      </c>
      <c r="B107" s="10">
        <v>45045</v>
      </c>
      <c r="C107" s="7">
        <f>Table1[[#This Row],[Check-out Date]]-Table1[[#This Row],[Check-in Date]]</f>
        <v>12</v>
      </c>
      <c r="D107" s="7" t="s">
        <v>296</v>
      </c>
      <c r="E107" s="7" t="s">
        <v>842</v>
      </c>
      <c r="F107" s="14">
        <v>2618.4299999999998</v>
      </c>
      <c r="G107" s="14">
        <f>Table1[[#This Row],[FULL AMOUNT usd]]*20</f>
        <v>52368.6</v>
      </c>
      <c r="H107" s="8">
        <f t="shared" si="2"/>
        <v>523.68600000000004</v>
      </c>
      <c r="I107" s="10" t="s">
        <v>785</v>
      </c>
      <c r="J107" s="24" t="str">
        <f t="shared" si="3"/>
        <v>2023-04</v>
      </c>
    </row>
    <row r="108" spans="1:10" x14ac:dyDescent="0.15">
      <c r="A108" s="10">
        <v>45050</v>
      </c>
      <c r="B108" s="10">
        <v>45054</v>
      </c>
      <c r="C108" s="7">
        <f>Table1[[#This Row],[Check-out Date]]-Table1[[#This Row],[Check-in Date]]</f>
        <v>4</v>
      </c>
      <c r="D108" s="7" t="s">
        <v>297</v>
      </c>
      <c r="F108" s="14">
        <v>303</v>
      </c>
      <c r="G108" s="14">
        <f>Table1[[#This Row],[FULL AMOUNT usd]]*20</f>
        <v>6060</v>
      </c>
      <c r="H108" s="8">
        <f t="shared" si="2"/>
        <v>60.6</v>
      </c>
      <c r="I108" s="7" t="s">
        <v>785</v>
      </c>
      <c r="J108" s="2" t="str">
        <f t="shared" si="3"/>
        <v>2023-05</v>
      </c>
    </row>
    <row r="109" spans="1:10" ht="14" x14ac:dyDescent="0.2">
      <c r="A109" s="10">
        <v>45058</v>
      </c>
      <c r="B109" s="10">
        <v>45061</v>
      </c>
      <c r="C109" s="7">
        <f>Table1[[#This Row],[Check-out Date]]-Table1[[#This Row],[Check-in Date]]</f>
        <v>3</v>
      </c>
      <c r="D109" s="7" t="s">
        <v>297</v>
      </c>
      <c r="E109" s="7" t="s">
        <v>843</v>
      </c>
      <c r="F109" s="14">
        <v>452.71</v>
      </c>
      <c r="G109" s="14">
        <f>Table1[[#This Row],[FULL AMOUNT usd]]*20</f>
        <v>9054.1999999999989</v>
      </c>
      <c r="H109" s="8">
        <f t="shared" si="2"/>
        <v>90.542000000000002</v>
      </c>
      <c r="I109" s="10" t="s">
        <v>785</v>
      </c>
      <c r="J109" s="24" t="str">
        <f t="shared" si="3"/>
        <v>2023-05</v>
      </c>
    </row>
    <row r="110" spans="1:10" x14ac:dyDescent="0.15">
      <c r="A110" s="10">
        <v>45058</v>
      </c>
      <c r="B110" s="10">
        <v>45061</v>
      </c>
      <c r="C110" s="7">
        <f>Table1[[#This Row],[Check-out Date]]-Table1[[#This Row],[Check-in Date]]</f>
        <v>3</v>
      </c>
      <c r="D110" s="7" t="s">
        <v>297</v>
      </c>
      <c r="F110" s="14">
        <v>335</v>
      </c>
      <c r="G110" s="14">
        <f>Table1[[#This Row],[FULL AMOUNT usd]]*20</f>
        <v>6700</v>
      </c>
      <c r="H110" s="8">
        <f t="shared" si="2"/>
        <v>67</v>
      </c>
      <c r="I110" s="7" t="s">
        <v>785</v>
      </c>
      <c r="J110" s="2" t="str">
        <f t="shared" si="3"/>
        <v>2023-05</v>
      </c>
    </row>
    <row r="111" spans="1:10" ht="14" x14ac:dyDescent="0.2">
      <c r="A111" s="10">
        <v>45073</v>
      </c>
      <c r="B111" s="10">
        <v>45076</v>
      </c>
      <c r="C111" s="7">
        <f>Table1[[#This Row],[Check-out Date]]-Table1[[#This Row],[Check-in Date]]</f>
        <v>3</v>
      </c>
      <c r="D111" s="7" t="s">
        <v>297</v>
      </c>
      <c r="E111" s="7" t="s">
        <v>844</v>
      </c>
      <c r="F111" s="14">
        <v>335</v>
      </c>
      <c r="G111" s="14">
        <f>Table1[[#This Row],[FULL AMOUNT usd]]*20</f>
        <v>6700</v>
      </c>
      <c r="H111" s="8">
        <f t="shared" si="2"/>
        <v>67</v>
      </c>
      <c r="I111" s="10" t="s">
        <v>974</v>
      </c>
      <c r="J111" s="24" t="str">
        <f t="shared" si="3"/>
        <v>2023-05</v>
      </c>
    </row>
    <row r="112" spans="1:10" x14ac:dyDescent="0.15">
      <c r="A112" s="10">
        <v>45073</v>
      </c>
      <c r="B112" s="10">
        <v>45076</v>
      </c>
      <c r="C112" s="7">
        <f>Table1[[#This Row],[Check-out Date]]-Table1[[#This Row],[Check-in Date]]</f>
        <v>3</v>
      </c>
      <c r="D112" s="7" t="s">
        <v>297</v>
      </c>
      <c r="F112" s="14">
        <v>680</v>
      </c>
      <c r="G112" s="14">
        <f>Table1[[#This Row],[FULL AMOUNT usd]]*20</f>
        <v>13600</v>
      </c>
      <c r="H112" s="8">
        <f t="shared" si="2"/>
        <v>136</v>
      </c>
      <c r="I112" s="7" t="s">
        <v>785</v>
      </c>
      <c r="J112" s="2" t="str">
        <f t="shared" si="3"/>
        <v>2023-05</v>
      </c>
    </row>
    <row r="113" spans="1:10" ht="14" x14ac:dyDescent="0.2">
      <c r="A113" s="10">
        <v>45080</v>
      </c>
      <c r="B113" s="10">
        <v>45081</v>
      </c>
      <c r="C113" s="7">
        <f>Table1[[#This Row],[Check-out Date]]-Table1[[#This Row],[Check-in Date]]</f>
        <v>1</v>
      </c>
      <c r="D113" s="7" t="s">
        <v>295</v>
      </c>
      <c r="E113" s="7" t="s">
        <v>845</v>
      </c>
      <c r="F113" s="14">
        <v>111</v>
      </c>
      <c r="G113" s="14">
        <f>Table1[[#This Row],[FULL AMOUNT usd]]*20</f>
        <v>2220</v>
      </c>
      <c r="H113" s="8">
        <f t="shared" si="2"/>
        <v>22.200000000000003</v>
      </c>
      <c r="I113" s="10" t="s">
        <v>810</v>
      </c>
      <c r="J113" s="24" t="str">
        <f t="shared" si="3"/>
        <v>2023-06</v>
      </c>
    </row>
    <row r="114" spans="1:10" ht="14" x14ac:dyDescent="0.2">
      <c r="A114" s="10">
        <v>45097</v>
      </c>
      <c r="B114" s="10">
        <v>45102</v>
      </c>
      <c r="C114" s="7">
        <f>Table1[[#This Row],[Check-out Date]]-Table1[[#This Row],[Check-in Date]]</f>
        <v>5</v>
      </c>
      <c r="D114" s="7" t="s">
        <v>297</v>
      </c>
      <c r="E114" s="7" t="s">
        <v>846</v>
      </c>
      <c r="F114" s="14">
        <v>680</v>
      </c>
      <c r="G114" s="14">
        <f>Table1[[#This Row],[FULL AMOUNT usd]]*20</f>
        <v>13600</v>
      </c>
      <c r="H114" s="8">
        <f t="shared" si="2"/>
        <v>136</v>
      </c>
      <c r="I114" s="10" t="s">
        <v>974</v>
      </c>
      <c r="J114" s="24" t="str">
        <f t="shared" si="3"/>
        <v>2023-06</v>
      </c>
    </row>
    <row r="115" spans="1:10" x14ac:dyDescent="0.15">
      <c r="A115" s="10">
        <v>45097</v>
      </c>
      <c r="B115" s="10">
        <v>45102</v>
      </c>
      <c r="C115" s="7">
        <f>Table1[[#This Row],[Check-out Date]]-Table1[[#This Row],[Check-in Date]]</f>
        <v>5</v>
      </c>
      <c r="D115" s="7" t="s">
        <v>297</v>
      </c>
      <c r="F115" s="14">
        <v>6900</v>
      </c>
      <c r="G115" s="14">
        <f>Table1[[#This Row],[FULL AMOUNT usd]]*20</f>
        <v>138000</v>
      </c>
      <c r="H115" s="8">
        <f t="shared" si="2"/>
        <v>1380</v>
      </c>
      <c r="I115" s="7" t="s">
        <v>785</v>
      </c>
      <c r="J115" s="2" t="str">
        <f t="shared" si="3"/>
        <v>2023-06</v>
      </c>
    </row>
    <row r="116" spans="1:10" ht="14" x14ac:dyDescent="0.2">
      <c r="A116" s="10">
        <v>45098</v>
      </c>
      <c r="B116" s="10">
        <v>45102</v>
      </c>
      <c r="C116" s="7">
        <f>Table1[[#This Row],[Check-out Date]]-Table1[[#This Row],[Check-in Date]]</f>
        <v>4</v>
      </c>
      <c r="D116" s="7" t="s">
        <v>295</v>
      </c>
      <c r="E116" s="7" t="s">
        <v>848</v>
      </c>
      <c r="F116" s="14">
        <v>332.64</v>
      </c>
      <c r="G116" s="14">
        <f>Table1[[#This Row],[FULL AMOUNT usd]]*20</f>
        <v>6652.7999999999993</v>
      </c>
      <c r="H116" s="8">
        <f t="shared" si="2"/>
        <v>66.528000000000006</v>
      </c>
      <c r="I116" s="10" t="s">
        <v>810</v>
      </c>
      <c r="J116" s="24" t="str">
        <f t="shared" si="3"/>
        <v>2023-06</v>
      </c>
    </row>
    <row r="117" spans="1:10" ht="14" x14ac:dyDescent="0.2">
      <c r="A117" s="10">
        <v>45099</v>
      </c>
      <c r="B117" s="10">
        <v>45102</v>
      </c>
      <c r="C117" s="7">
        <f>Table1[[#This Row],[Check-out Date]]-Table1[[#This Row],[Check-in Date]]</f>
        <v>3</v>
      </c>
      <c r="D117" s="7" t="s">
        <v>295</v>
      </c>
      <c r="E117" s="7" t="s">
        <v>847</v>
      </c>
      <c r="F117" s="14">
        <v>269</v>
      </c>
      <c r="G117" s="14">
        <f>Table1[[#This Row],[FULL AMOUNT usd]]*20</f>
        <v>5380</v>
      </c>
      <c r="H117" s="8">
        <f t="shared" si="2"/>
        <v>53.800000000000004</v>
      </c>
      <c r="I117" s="10" t="s">
        <v>974</v>
      </c>
      <c r="J117" s="24" t="str">
        <f t="shared" si="3"/>
        <v>2023-06</v>
      </c>
    </row>
    <row r="118" spans="1:10" ht="14" x14ac:dyDescent="0.2">
      <c r="A118" s="10">
        <v>45125</v>
      </c>
      <c r="B118" s="10">
        <v>45132</v>
      </c>
      <c r="C118" s="7">
        <f>Table1[[#This Row],[Check-out Date]]-Table1[[#This Row],[Check-in Date]]</f>
        <v>7</v>
      </c>
      <c r="D118" s="7" t="s">
        <v>295</v>
      </c>
      <c r="E118" s="7" t="s">
        <v>849</v>
      </c>
      <c r="F118" s="14">
        <v>1027.19</v>
      </c>
      <c r="G118" s="14">
        <f>Table1[[#This Row],[FULL AMOUNT usd]]*20</f>
        <v>20543.800000000003</v>
      </c>
      <c r="H118" s="8">
        <f t="shared" si="2"/>
        <v>205.43800000000002</v>
      </c>
      <c r="I118" s="10" t="s">
        <v>785</v>
      </c>
      <c r="J118" s="24" t="str">
        <f t="shared" si="3"/>
        <v>2023-07</v>
      </c>
    </row>
    <row r="119" spans="1:10" ht="14" x14ac:dyDescent="0.2">
      <c r="A119" s="10">
        <v>45134</v>
      </c>
      <c r="B119" s="10">
        <v>45137</v>
      </c>
      <c r="C119" s="7">
        <f>Table1[[#This Row],[Check-out Date]]-Table1[[#This Row],[Check-in Date]]</f>
        <v>3</v>
      </c>
      <c r="D119" s="7" t="s">
        <v>295</v>
      </c>
      <c r="E119" s="7" t="s">
        <v>793</v>
      </c>
      <c r="F119" s="14">
        <v>265</v>
      </c>
      <c r="G119" s="14">
        <f>Table1[[#This Row],[FULL AMOUNT usd]]*20</f>
        <v>5300</v>
      </c>
      <c r="H119" s="8">
        <f t="shared" si="2"/>
        <v>53</v>
      </c>
      <c r="I119" s="10" t="s">
        <v>785</v>
      </c>
      <c r="J119" s="24" t="str">
        <f t="shared" si="3"/>
        <v>2023-07</v>
      </c>
    </row>
    <row r="120" spans="1:10" ht="14" x14ac:dyDescent="0.2">
      <c r="A120" s="10">
        <v>45170</v>
      </c>
      <c r="B120" s="10">
        <v>45172</v>
      </c>
      <c r="C120" s="7">
        <f>Table1[[#This Row],[Check-out Date]]-Table1[[#This Row],[Check-in Date]]</f>
        <v>2</v>
      </c>
      <c r="D120" s="7" t="s">
        <v>296</v>
      </c>
      <c r="E120" s="7" t="s">
        <v>850</v>
      </c>
      <c r="F120" s="14">
        <v>6700</v>
      </c>
      <c r="G120" s="14">
        <f>Table1[[#This Row],[FULL AMOUNT usd]]*20</f>
        <v>134000</v>
      </c>
      <c r="H120" s="8">
        <f t="shared" si="2"/>
        <v>1340</v>
      </c>
      <c r="I120" s="10" t="s">
        <v>785</v>
      </c>
      <c r="J120" s="24" t="str">
        <f t="shared" si="3"/>
        <v>2023-09</v>
      </c>
    </row>
    <row r="121" spans="1:10" ht="14" x14ac:dyDescent="0.2">
      <c r="A121" s="10">
        <v>45179</v>
      </c>
      <c r="B121" s="10">
        <v>45183</v>
      </c>
      <c r="C121" s="7">
        <f>Table1[[#This Row],[Check-out Date]]-Table1[[#This Row],[Check-in Date]]</f>
        <v>4</v>
      </c>
      <c r="D121" s="7" t="s">
        <v>295</v>
      </c>
      <c r="E121" s="7" t="s">
        <v>851</v>
      </c>
      <c r="F121" s="14">
        <v>238</v>
      </c>
      <c r="G121" s="14">
        <f>Table1[[#This Row],[FULL AMOUNT usd]]*20</f>
        <v>4760</v>
      </c>
      <c r="H121" s="8">
        <f t="shared" si="2"/>
        <v>47.6</v>
      </c>
      <c r="I121" s="10" t="s">
        <v>785</v>
      </c>
      <c r="J121" s="24" t="str">
        <f t="shared" si="3"/>
        <v>2023-09</v>
      </c>
    </row>
    <row r="122" spans="1:10" ht="14" x14ac:dyDescent="0.2">
      <c r="A122" s="10">
        <v>45211</v>
      </c>
      <c r="B122" s="10">
        <v>45215</v>
      </c>
      <c r="C122" s="7">
        <f>Table1[[#This Row],[Check-out Date]]-Table1[[#This Row],[Check-in Date]]</f>
        <v>4</v>
      </c>
      <c r="D122" s="7" t="s">
        <v>297</v>
      </c>
      <c r="E122" s="7" t="s">
        <v>852</v>
      </c>
      <c r="F122" s="14">
        <v>6900</v>
      </c>
      <c r="G122" s="14">
        <f>Table1[[#This Row],[FULL AMOUNT usd]]*20</f>
        <v>138000</v>
      </c>
      <c r="H122" s="8">
        <f t="shared" si="2"/>
        <v>1380</v>
      </c>
      <c r="I122" s="10" t="s">
        <v>974</v>
      </c>
      <c r="J122" s="24" t="str">
        <f t="shared" si="3"/>
        <v>2023-10</v>
      </c>
    </row>
    <row r="123" spans="1:10" x14ac:dyDescent="0.15">
      <c r="A123" s="10">
        <v>45211</v>
      </c>
      <c r="B123" s="10">
        <v>45215</v>
      </c>
      <c r="C123" s="7">
        <f>Table1[[#This Row],[Check-out Date]]-Table1[[#This Row],[Check-in Date]]</f>
        <v>4</v>
      </c>
      <c r="D123" s="7" t="s">
        <v>297</v>
      </c>
      <c r="F123" s="14">
        <v>288</v>
      </c>
      <c r="G123" s="14">
        <f>Table1[[#This Row],[FULL AMOUNT usd]]*20</f>
        <v>5760</v>
      </c>
      <c r="H123" s="8">
        <f t="shared" si="2"/>
        <v>57.6</v>
      </c>
      <c r="I123" s="7" t="s">
        <v>785</v>
      </c>
      <c r="J123" s="2" t="str">
        <f t="shared" si="3"/>
        <v>2023-10</v>
      </c>
    </row>
    <row r="124" spans="1:10" ht="14" x14ac:dyDescent="0.2">
      <c r="A124" s="10">
        <v>45216</v>
      </c>
      <c r="B124" s="10">
        <v>45219</v>
      </c>
      <c r="C124" s="7">
        <f>Table1[[#This Row],[Check-out Date]]-Table1[[#This Row],[Check-in Date]]</f>
        <v>3</v>
      </c>
      <c r="D124" s="7" t="s">
        <v>297</v>
      </c>
      <c r="E124" s="7" t="s">
        <v>856</v>
      </c>
      <c r="F124" s="14">
        <v>303</v>
      </c>
      <c r="G124" s="14">
        <f>Table1[[#This Row],[FULL AMOUNT usd]]*20</f>
        <v>6060</v>
      </c>
      <c r="H124" s="8">
        <f t="shared" si="2"/>
        <v>60.6</v>
      </c>
      <c r="I124" s="10" t="s">
        <v>810</v>
      </c>
      <c r="J124" s="24" t="str">
        <f t="shared" si="3"/>
        <v>2023-10</v>
      </c>
    </row>
    <row r="125" spans="1:10" ht="14" x14ac:dyDescent="0.2">
      <c r="A125" s="10">
        <v>45216</v>
      </c>
      <c r="B125" s="10">
        <v>45227</v>
      </c>
      <c r="C125" s="7">
        <f>Table1[[#This Row],[Check-out Date]]-Table1[[#This Row],[Check-in Date]]</f>
        <v>11</v>
      </c>
      <c r="D125" s="7" t="s">
        <v>295</v>
      </c>
      <c r="E125" s="7" t="s">
        <v>831</v>
      </c>
      <c r="F125" s="14">
        <v>870</v>
      </c>
      <c r="G125" s="14">
        <f>Table1[[#This Row],[FULL AMOUNT usd]]*20</f>
        <v>17400</v>
      </c>
      <c r="H125" s="8">
        <f t="shared" si="2"/>
        <v>174</v>
      </c>
      <c r="I125" s="10" t="s">
        <v>785</v>
      </c>
      <c r="J125" s="24" t="str">
        <f t="shared" si="3"/>
        <v>2023-10</v>
      </c>
    </row>
    <row r="126" spans="1:10" ht="14" x14ac:dyDescent="0.2">
      <c r="A126" s="10">
        <v>45231</v>
      </c>
      <c r="B126" s="10">
        <v>45261</v>
      </c>
      <c r="C126" s="7">
        <f>Table1[[#This Row],[Check-out Date]]-Table1[[#This Row],[Check-in Date]]</f>
        <v>30</v>
      </c>
      <c r="D126" s="7" t="s">
        <v>295</v>
      </c>
      <c r="E126" s="7" t="s">
        <v>854</v>
      </c>
      <c r="F126" s="14">
        <v>863.15</v>
      </c>
      <c r="G126" s="14">
        <f>Table1[[#This Row],[FULL AMOUNT usd]]*20</f>
        <v>17263</v>
      </c>
      <c r="H126" s="8">
        <f t="shared" si="2"/>
        <v>172.63</v>
      </c>
      <c r="I126" s="10" t="s">
        <v>785</v>
      </c>
      <c r="J126" s="24" t="str">
        <f t="shared" si="3"/>
        <v>2023-11</v>
      </c>
    </row>
    <row r="127" spans="1:10" ht="14" x14ac:dyDescent="0.2">
      <c r="A127" s="10">
        <v>45234</v>
      </c>
      <c r="B127" s="10">
        <v>45237</v>
      </c>
      <c r="C127" s="7">
        <f>Table1[[#This Row],[Check-out Date]]-Table1[[#This Row],[Check-in Date]]</f>
        <v>3</v>
      </c>
      <c r="D127" s="7" t="s">
        <v>295</v>
      </c>
      <c r="E127" s="7" t="s">
        <v>853</v>
      </c>
      <c r="F127" s="14">
        <v>320.52</v>
      </c>
      <c r="G127" s="14">
        <f>Table1[[#This Row],[FULL AMOUNT usd]]*20</f>
        <v>6410.4</v>
      </c>
      <c r="H127" s="8">
        <f t="shared" si="2"/>
        <v>64.103999999999999</v>
      </c>
      <c r="I127" s="10" t="s">
        <v>810</v>
      </c>
      <c r="J127" s="24" t="str">
        <f t="shared" si="3"/>
        <v>2023-11</v>
      </c>
    </row>
    <row r="128" spans="1:10" ht="14" x14ac:dyDescent="0.2">
      <c r="A128" s="10">
        <v>45238</v>
      </c>
      <c r="B128" s="10">
        <v>45243</v>
      </c>
      <c r="C128" s="7">
        <f>Table1[[#This Row],[Check-out Date]]-Table1[[#This Row],[Check-in Date]]</f>
        <v>5</v>
      </c>
      <c r="D128" s="7" t="s">
        <v>295</v>
      </c>
      <c r="E128" s="7" t="s">
        <v>855</v>
      </c>
      <c r="F128" s="14">
        <v>500.96</v>
      </c>
      <c r="G128" s="14">
        <f>Table1[[#This Row],[FULL AMOUNT usd]]*20</f>
        <v>10019.199999999999</v>
      </c>
      <c r="H128" s="8">
        <f t="shared" si="2"/>
        <v>100.19200000000001</v>
      </c>
      <c r="I128" s="10" t="s">
        <v>974</v>
      </c>
      <c r="J128" s="24" t="str">
        <f t="shared" si="3"/>
        <v>2023-11</v>
      </c>
    </row>
    <row r="129" spans="1:10" x14ac:dyDescent="0.15">
      <c r="A129" s="10">
        <v>45247</v>
      </c>
      <c r="B129" s="10">
        <v>45250</v>
      </c>
      <c r="C129" s="7">
        <f>Table1[[#This Row],[Check-out Date]]-Table1[[#This Row],[Check-in Date]]</f>
        <v>3</v>
      </c>
      <c r="D129" s="7" t="s">
        <v>297</v>
      </c>
      <c r="F129" s="14">
        <v>440.9</v>
      </c>
      <c r="G129" s="14">
        <f>Table1[[#This Row],[FULL AMOUNT usd]]*20</f>
        <v>8818</v>
      </c>
      <c r="H129" s="8">
        <f t="shared" si="2"/>
        <v>88.18</v>
      </c>
      <c r="I129" s="7" t="s">
        <v>785</v>
      </c>
      <c r="J129" s="2" t="str">
        <f t="shared" si="3"/>
        <v>2023-11</v>
      </c>
    </row>
    <row r="130" spans="1:10" ht="14" x14ac:dyDescent="0.2">
      <c r="A130" s="10">
        <v>45256</v>
      </c>
      <c r="B130" s="10">
        <v>45261</v>
      </c>
      <c r="C130" s="7">
        <f>Table1[[#This Row],[Check-out Date]]-Table1[[#This Row],[Check-in Date]]</f>
        <v>5</v>
      </c>
      <c r="D130" s="7" t="s">
        <v>297</v>
      </c>
      <c r="E130" s="7" t="s">
        <v>857</v>
      </c>
      <c r="F130" s="14">
        <v>440.9</v>
      </c>
      <c r="G130" s="14">
        <f>Table1[[#This Row],[FULL AMOUNT usd]]*20</f>
        <v>8818</v>
      </c>
      <c r="H130" s="8">
        <f t="shared" ref="H130:H193" si="4">F130*0.2</f>
        <v>88.18</v>
      </c>
      <c r="I130" s="10" t="s">
        <v>785</v>
      </c>
      <c r="J130" s="24" t="str">
        <f t="shared" ref="J130:J193" si="5">YEAR(A130)&amp;"-"&amp;TEXT(MONTH(A130),"00")</f>
        <v>2023-11</v>
      </c>
    </row>
    <row r="131" spans="1:10" x14ac:dyDescent="0.15">
      <c r="A131" s="10">
        <v>45256</v>
      </c>
      <c r="B131" s="10">
        <v>45261</v>
      </c>
      <c r="C131" s="7">
        <f>Table1[[#This Row],[Check-out Date]]-Table1[[#This Row],[Check-in Date]]</f>
        <v>5</v>
      </c>
      <c r="D131" s="7" t="s">
        <v>297</v>
      </c>
      <c r="F131" s="14">
        <v>2300</v>
      </c>
      <c r="G131" s="14">
        <f>Table1[[#This Row],[FULL AMOUNT usd]]*20</f>
        <v>46000</v>
      </c>
      <c r="H131" s="8">
        <f t="shared" si="4"/>
        <v>460</v>
      </c>
      <c r="I131" s="7" t="s">
        <v>785</v>
      </c>
      <c r="J131" s="2" t="str">
        <f t="shared" si="5"/>
        <v>2023-11</v>
      </c>
    </row>
    <row r="132" spans="1:10" ht="14" x14ac:dyDescent="0.2">
      <c r="A132" s="10">
        <v>45260</v>
      </c>
      <c r="B132" s="10">
        <v>45264</v>
      </c>
      <c r="C132" s="7">
        <f>Table1[[#This Row],[Check-out Date]]-Table1[[#This Row],[Check-in Date]]</f>
        <v>4</v>
      </c>
      <c r="D132" s="7" t="s">
        <v>295</v>
      </c>
      <c r="E132" s="7" t="s">
        <v>861</v>
      </c>
      <c r="F132" s="14">
        <v>385.88</v>
      </c>
      <c r="G132" s="14">
        <f>Table1[[#This Row],[FULL AMOUNT usd]]*20</f>
        <v>7717.6</v>
      </c>
      <c r="H132" s="8">
        <f t="shared" si="4"/>
        <v>77.176000000000002</v>
      </c>
      <c r="I132" s="10" t="s">
        <v>974</v>
      </c>
      <c r="J132" s="24" t="str">
        <f t="shared" si="5"/>
        <v>2023-11</v>
      </c>
    </row>
    <row r="133" spans="1:10" ht="14" x14ac:dyDescent="0.2">
      <c r="A133" s="10">
        <v>45261</v>
      </c>
      <c r="B133" s="10">
        <v>45264</v>
      </c>
      <c r="C133" s="7">
        <f>Table1[[#This Row],[Check-out Date]]-Table1[[#This Row],[Check-in Date]]</f>
        <v>3</v>
      </c>
      <c r="D133" s="7" t="s">
        <v>296</v>
      </c>
      <c r="E133" s="7" t="s">
        <v>860</v>
      </c>
      <c r="F133" s="14">
        <v>384.18</v>
      </c>
      <c r="G133" s="14">
        <f>Table1[[#This Row],[FULL AMOUNT usd]]*20</f>
        <v>7683.6</v>
      </c>
      <c r="H133" s="8">
        <f t="shared" si="4"/>
        <v>76.836000000000013</v>
      </c>
      <c r="I133" s="10" t="s">
        <v>785</v>
      </c>
      <c r="J133" s="24" t="str">
        <f t="shared" si="5"/>
        <v>2023-12</v>
      </c>
    </row>
    <row r="134" spans="1:10" ht="14" x14ac:dyDescent="0.2">
      <c r="A134" s="10">
        <v>45262</v>
      </c>
      <c r="B134" s="10">
        <v>45264</v>
      </c>
      <c r="C134" s="7">
        <f>Table1[[#This Row],[Check-out Date]]-Table1[[#This Row],[Check-in Date]]</f>
        <v>2</v>
      </c>
      <c r="D134" s="7" t="s">
        <v>295</v>
      </c>
      <c r="E134" s="7" t="s">
        <v>847</v>
      </c>
      <c r="F134" s="14">
        <v>3876</v>
      </c>
      <c r="G134" s="14">
        <f>Table1[[#This Row],[FULL AMOUNT usd]]*20</f>
        <v>77520</v>
      </c>
      <c r="H134" s="8">
        <f t="shared" si="4"/>
        <v>775.2</v>
      </c>
      <c r="I134" s="10" t="s">
        <v>785</v>
      </c>
      <c r="J134" s="24" t="str">
        <f t="shared" si="5"/>
        <v>2023-12</v>
      </c>
    </row>
    <row r="135" spans="1:10" ht="14" x14ac:dyDescent="0.2">
      <c r="A135" s="10">
        <v>45267</v>
      </c>
      <c r="B135" s="10">
        <v>45270</v>
      </c>
      <c r="C135" s="7">
        <f>Table1[[#This Row],[Check-out Date]]-Table1[[#This Row],[Check-in Date]]</f>
        <v>3</v>
      </c>
      <c r="D135" s="7" t="s">
        <v>297</v>
      </c>
      <c r="E135" s="7" t="s">
        <v>857</v>
      </c>
      <c r="F135" s="14">
        <v>5500</v>
      </c>
      <c r="G135" s="14">
        <f>Table1[[#This Row],[FULL AMOUNT usd]]*20</f>
        <v>110000</v>
      </c>
      <c r="H135" s="8">
        <f t="shared" si="4"/>
        <v>1100</v>
      </c>
      <c r="I135" s="10" t="s">
        <v>974</v>
      </c>
      <c r="J135" s="24" t="str">
        <f t="shared" si="5"/>
        <v>2023-12</v>
      </c>
    </row>
    <row r="136" spans="1:10" x14ac:dyDescent="0.15">
      <c r="A136" s="10">
        <v>45267</v>
      </c>
      <c r="B136" s="10">
        <v>45270</v>
      </c>
      <c r="C136" s="7">
        <f>Table1[[#This Row],[Check-out Date]]-Table1[[#This Row],[Check-in Date]]</f>
        <v>3</v>
      </c>
      <c r="D136" s="7" t="s">
        <v>297</v>
      </c>
      <c r="F136" s="14">
        <v>2663.44</v>
      </c>
      <c r="G136" s="14">
        <f>Table1[[#This Row],[FULL AMOUNT usd]]*20</f>
        <v>53268.800000000003</v>
      </c>
      <c r="H136" s="8">
        <f t="shared" si="4"/>
        <v>532.68799999999999</v>
      </c>
      <c r="I136" s="7" t="s">
        <v>785</v>
      </c>
      <c r="J136" s="2" t="str">
        <f t="shared" si="5"/>
        <v>2023-12</v>
      </c>
    </row>
    <row r="137" spans="1:10" ht="14" x14ac:dyDescent="0.2">
      <c r="A137" s="10">
        <v>45269</v>
      </c>
      <c r="B137" s="10">
        <v>45270</v>
      </c>
      <c r="C137" s="7">
        <f>Table1[[#This Row],[Check-out Date]]-Table1[[#This Row],[Check-in Date]]</f>
        <v>1</v>
      </c>
      <c r="D137" s="7" t="s">
        <v>297</v>
      </c>
      <c r="E137" s="7" t="s">
        <v>858</v>
      </c>
      <c r="F137" s="14">
        <v>2300</v>
      </c>
      <c r="G137" s="14">
        <f>Table1[[#This Row],[FULL AMOUNT usd]]*20</f>
        <v>46000</v>
      </c>
      <c r="H137" s="8">
        <f t="shared" si="4"/>
        <v>460</v>
      </c>
      <c r="I137" s="10" t="s">
        <v>785</v>
      </c>
      <c r="J137" s="24" t="str">
        <f t="shared" si="5"/>
        <v>2023-12</v>
      </c>
    </row>
    <row r="138" spans="1:10" x14ac:dyDescent="0.15">
      <c r="A138" s="10">
        <v>45269</v>
      </c>
      <c r="B138" s="10">
        <v>45270</v>
      </c>
      <c r="C138" s="7">
        <f>Table1[[#This Row],[Check-out Date]]-Table1[[#This Row],[Check-in Date]]</f>
        <v>1</v>
      </c>
      <c r="D138" s="7" t="s">
        <v>297</v>
      </c>
      <c r="F138" s="14">
        <v>5500</v>
      </c>
      <c r="G138" s="14">
        <f>Table1[[#This Row],[FULL AMOUNT usd]]*20</f>
        <v>110000</v>
      </c>
      <c r="H138" s="8">
        <f t="shared" si="4"/>
        <v>1100</v>
      </c>
      <c r="I138" s="7" t="s">
        <v>785</v>
      </c>
      <c r="J138" s="2" t="str">
        <f t="shared" si="5"/>
        <v>2023-12</v>
      </c>
    </row>
    <row r="139" spans="1:10" ht="14" x14ac:dyDescent="0.2">
      <c r="A139" s="10">
        <v>45281</v>
      </c>
      <c r="B139" s="10">
        <v>45283</v>
      </c>
      <c r="C139" s="7">
        <f>Table1[[#This Row],[Check-out Date]]-Table1[[#This Row],[Check-in Date]]</f>
        <v>2</v>
      </c>
      <c r="D139" s="7" t="s">
        <v>296</v>
      </c>
      <c r="E139" s="7" t="s">
        <v>862</v>
      </c>
      <c r="F139" s="14">
        <v>5000</v>
      </c>
      <c r="G139" s="14">
        <f>Table1[[#This Row],[FULL AMOUNT usd]]*20</f>
        <v>100000</v>
      </c>
      <c r="H139" s="8">
        <f t="shared" si="4"/>
        <v>1000</v>
      </c>
      <c r="I139" s="10" t="s">
        <v>810</v>
      </c>
      <c r="J139" s="24" t="str">
        <f t="shared" si="5"/>
        <v>2023-12</v>
      </c>
    </row>
    <row r="140" spans="1:10" ht="14" x14ac:dyDescent="0.2">
      <c r="A140" s="10">
        <v>45282</v>
      </c>
      <c r="B140" s="10">
        <v>45285</v>
      </c>
      <c r="C140" s="7">
        <f>Table1[[#This Row],[Check-out Date]]-Table1[[#This Row],[Check-in Date]]</f>
        <v>3</v>
      </c>
      <c r="D140" s="7" t="s">
        <v>295</v>
      </c>
      <c r="E140" s="7" t="s">
        <v>863</v>
      </c>
      <c r="F140" s="14">
        <v>360.57</v>
      </c>
      <c r="G140" s="14">
        <f>Table1[[#This Row],[FULL AMOUNT usd]]*20</f>
        <v>7211.4</v>
      </c>
      <c r="H140" s="8">
        <f t="shared" si="4"/>
        <v>72.114000000000004</v>
      </c>
      <c r="I140" s="10" t="s">
        <v>885</v>
      </c>
      <c r="J140" s="24" t="str">
        <f t="shared" si="5"/>
        <v>2023-12</v>
      </c>
    </row>
    <row r="141" spans="1:10" ht="14" x14ac:dyDescent="0.2">
      <c r="A141" s="10">
        <v>45286</v>
      </c>
      <c r="B141" s="10">
        <v>45289</v>
      </c>
      <c r="C141" s="7">
        <f>Table1[[#This Row],[Check-out Date]]-Table1[[#This Row],[Check-in Date]]</f>
        <v>3</v>
      </c>
      <c r="D141" s="7" t="s">
        <v>296</v>
      </c>
      <c r="E141" s="7" t="s">
        <v>866</v>
      </c>
      <c r="F141" s="14">
        <v>507</v>
      </c>
      <c r="G141" s="14">
        <f>Table1[[#This Row],[FULL AMOUNT usd]]*20</f>
        <v>10140</v>
      </c>
      <c r="H141" s="8">
        <f t="shared" si="4"/>
        <v>101.4</v>
      </c>
      <c r="I141" s="10" t="s">
        <v>810</v>
      </c>
      <c r="J141" s="24" t="str">
        <f t="shared" si="5"/>
        <v>2023-12</v>
      </c>
    </row>
    <row r="142" spans="1:10" ht="14" x14ac:dyDescent="0.2">
      <c r="A142" s="10">
        <v>45287</v>
      </c>
      <c r="B142" s="10">
        <v>45293</v>
      </c>
      <c r="C142" s="7">
        <f>Table1[[#This Row],[Check-out Date]]-Table1[[#This Row],[Check-in Date]]</f>
        <v>6</v>
      </c>
      <c r="D142" s="7" t="s">
        <v>295</v>
      </c>
      <c r="E142" s="7" t="s">
        <v>859</v>
      </c>
      <c r="F142" s="14">
        <v>2409.8200000000002</v>
      </c>
      <c r="G142" s="14">
        <f>Table1[[#This Row],[FULL AMOUNT usd]]*20</f>
        <v>48196.4</v>
      </c>
      <c r="H142" s="8">
        <f t="shared" si="4"/>
        <v>481.96400000000006</v>
      </c>
      <c r="I142" s="10" t="s">
        <v>810</v>
      </c>
      <c r="J142" s="24" t="str">
        <f t="shared" si="5"/>
        <v>2023-12</v>
      </c>
    </row>
    <row r="143" spans="1:10" ht="14" x14ac:dyDescent="0.2">
      <c r="A143" s="10">
        <v>45289</v>
      </c>
      <c r="B143" s="10">
        <v>45294</v>
      </c>
      <c r="C143" s="7">
        <f>Table1[[#This Row],[Check-out Date]]-Table1[[#This Row],[Check-in Date]]</f>
        <v>5</v>
      </c>
      <c r="D143" s="7" t="s">
        <v>296</v>
      </c>
      <c r="E143" s="7" t="s">
        <v>868</v>
      </c>
      <c r="F143" s="14">
        <v>1004</v>
      </c>
      <c r="G143" s="14">
        <f>Table1[[#This Row],[FULL AMOUNT usd]]*20</f>
        <v>20080</v>
      </c>
      <c r="H143" s="8">
        <f t="shared" si="4"/>
        <v>200.8</v>
      </c>
      <c r="I143" s="10" t="s">
        <v>974</v>
      </c>
      <c r="J143" s="24" t="str">
        <f t="shared" si="5"/>
        <v>2023-12</v>
      </c>
    </row>
    <row r="144" spans="1:10" ht="14" x14ac:dyDescent="0.2">
      <c r="A144" s="10">
        <v>45290</v>
      </c>
      <c r="B144" s="10">
        <v>45322</v>
      </c>
      <c r="C144" s="7">
        <f>Table1[[#This Row],[Check-out Date]]-Table1[[#This Row],[Check-in Date]]</f>
        <v>32</v>
      </c>
      <c r="D144" s="7" t="s">
        <v>297</v>
      </c>
      <c r="E144" s="7" t="s">
        <v>759</v>
      </c>
      <c r="F144" s="14">
        <v>2500</v>
      </c>
      <c r="G144" s="14">
        <f>Table1[[#This Row],[FULL AMOUNT usd]]*20</f>
        <v>50000</v>
      </c>
      <c r="H144" s="8">
        <f t="shared" si="4"/>
        <v>500</v>
      </c>
      <c r="I144" s="10" t="s">
        <v>810</v>
      </c>
      <c r="J144" s="24" t="str">
        <f t="shared" si="5"/>
        <v>2023-12</v>
      </c>
    </row>
    <row r="145" spans="1:10" ht="14" x14ac:dyDescent="0.2">
      <c r="A145" s="10">
        <v>45291</v>
      </c>
      <c r="B145" s="10">
        <v>45293</v>
      </c>
      <c r="C145" s="7">
        <f>Table1[[#This Row],[Check-out Date]]-Table1[[#This Row],[Check-in Date]]</f>
        <v>2</v>
      </c>
      <c r="D145" s="7" t="s">
        <v>297</v>
      </c>
      <c r="E145" s="7" t="s">
        <v>814</v>
      </c>
      <c r="F145" s="14">
        <v>170</v>
      </c>
      <c r="G145" s="14">
        <f>Table1[[#This Row],[FULL AMOUNT usd]]*20</f>
        <v>3400</v>
      </c>
      <c r="H145" s="8">
        <f t="shared" si="4"/>
        <v>34</v>
      </c>
      <c r="I145" s="10" t="s">
        <v>785</v>
      </c>
      <c r="J145" s="24" t="str">
        <f t="shared" si="5"/>
        <v>2023-12</v>
      </c>
    </row>
    <row r="146" spans="1:10" ht="14" x14ac:dyDescent="0.2">
      <c r="A146" s="10">
        <v>45291</v>
      </c>
      <c r="B146" s="10">
        <v>45293</v>
      </c>
      <c r="C146" s="7">
        <f>Table1[[#This Row],[Check-out Date]]-Table1[[#This Row],[Check-in Date]]</f>
        <v>2</v>
      </c>
      <c r="D146" s="7" t="s">
        <v>296</v>
      </c>
      <c r="E146" s="7" t="s">
        <v>813</v>
      </c>
      <c r="F146" s="14">
        <v>110</v>
      </c>
      <c r="G146" s="14">
        <f>Table1[[#This Row],[FULL AMOUNT usd]]*20</f>
        <v>2200</v>
      </c>
      <c r="H146" s="8">
        <f t="shared" si="4"/>
        <v>22</v>
      </c>
      <c r="I146" s="10" t="s">
        <v>785</v>
      </c>
      <c r="J146" s="24" t="str">
        <f t="shared" si="5"/>
        <v>2023-12</v>
      </c>
    </row>
    <row r="147" spans="1:10" ht="14" x14ac:dyDescent="0.2">
      <c r="A147" s="10">
        <v>45293</v>
      </c>
      <c r="B147" s="10">
        <v>45296</v>
      </c>
      <c r="C147" s="7">
        <f>Table1[[#This Row],[Check-out Date]]-Table1[[#This Row],[Check-in Date]]</f>
        <v>3</v>
      </c>
      <c r="D147" s="7" t="s">
        <v>297</v>
      </c>
      <c r="E147" s="7" t="s">
        <v>866</v>
      </c>
      <c r="F147" s="14">
        <v>507</v>
      </c>
      <c r="G147" s="14">
        <f>Table1[[#This Row],[FULL AMOUNT usd]]*20</f>
        <v>10140</v>
      </c>
      <c r="H147" s="8">
        <f t="shared" si="4"/>
        <v>101.4</v>
      </c>
      <c r="I147" s="10" t="s">
        <v>974</v>
      </c>
      <c r="J147" s="24" t="str">
        <f t="shared" si="5"/>
        <v>2024-01</v>
      </c>
    </row>
    <row r="148" spans="1:10" ht="14" x14ac:dyDescent="0.2">
      <c r="A148" s="10">
        <v>45293</v>
      </c>
      <c r="B148" s="10">
        <v>45296</v>
      </c>
      <c r="C148" s="7">
        <f>Table1[[#This Row],[Check-out Date]]-Table1[[#This Row],[Check-in Date]]</f>
        <v>3</v>
      </c>
      <c r="D148" s="7" t="s">
        <v>295</v>
      </c>
      <c r="E148" s="7" t="s">
        <v>864</v>
      </c>
      <c r="F148" s="14">
        <v>870.51</v>
      </c>
      <c r="G148" s="14">
        <f>Table1[[#This Row],[FULL AMOUNT usd]]*20</f>
        <v>17410.2</v>
      </c>
      <c r="H148" s="8">
        <f t="shared" si="4"/>
        <v>174.102</v>
      </c>
      <c r="I148" s="10" t="s">
        <v>974</v>
      </c>
      <c r="J148" s="24" t="str">
        <f t="shared" si="5"/>
        <v>2024-01</v>
      </c>
    </row>
    <row r="149" spans="1:10" ht="14" x14ac:dyDescent="0.2">
      <c r="A149" s="10">
        <v>45293</v>
      </c>
      <c r="B149" s="10">
        <v>45295</v>
      </c>
      <c r="C149" s="7">
        <f>Table1[[#This Row],[Check-out Date]]-Table1[[#This Row],[Check-in Date]]</f>
        <v>2</v>
      </c>
      <c r="D149" s="7" t="s">
        <v>295</v>
      </c>
      <c r="E149" s="7" t="s">
        <v>869</v>
      </c>
      <c r="F149" s="14">
        <v>311.08</v>
      </c>
      <c r="G149" s="14">
        <f>Table1[[#This Row],[FULL AMOUNT usd]]*20</f>
        <v>6221.5999999999995</v>
      </c>
      <c r="H149" s="8">
        <f t="shared" si="4"/>
        <v>62.216000000000001</v>
      </c>
      <c r="I149" s="10" t="s">
        <v>785</v>
      </c>
      <c r="J149" s="24" t="str">
        <f t="shared" si="5"/>
        <v>2024-01</v>
      </c>
    </row>
    <row r="150" spans="1:10" x14ac:dyDescent="0.15">
      <c r="A150" s="10">
        <v>45293</v>
      </c>
      <c r="B150" s="10">
        <v>45296</v>
      </c>
      <c r="C150" s="7">
        <f>Table1[[#This Row],[Check-out Date]]-Table1[[#This Row],[Check-in Date]]</f>
        <v>3</v>
      </c>
      <c r="D150" s="7" t="s">
        <v>297</v>
      </c>
      <c r="F150" s="14">
        <v>371.68</v>
      </c>
      <c r="G150" s="14">
        <f>Table1[[#This Row],[FULL AMOUNT usd]]*20</f>
        <v>7433.6</v>
      </c>
      <c r="H150" s="8">
        <f t="shared" si="4"/>
        <v>74.335999999999999</v>
      </c>
      <c r="I150" s="7" t="s">
        <v>785</v>
      </c>
      <c r="J150" s="2" t="str">
        <f t="shared" si="5"/>
        <v>2024-01</v>
      </c>
    </row>
    <row r="151" spans="1:10" ht="14" x14ac:dyDescent="0.2">
      <c r="A151" s="10">
        <v>45295</v>
      </c>
      <c r="B151" s="10">
        <v>45311</v>
      </c>
      <c r="C151" s="7">
        <f>Table1[[#This Row],[Check-out Date]]-Table1[[#This Row],[Check-in Date]]</f>
        <v>16</v>
      </c>
      <c r="D151" s="7" t="s">
        <v>297</v>
      </c>
      <c r="E151" s="7" t="s">
        <v>817</v>
      </c>
      <c r="F151" s="14">
        <v>110</v>
      </c>
      <c r="G151" s="14">
        <f>Table1[[#This Row],[FULL AMOUNT usd]]*20</f>
        <v>2200</v>
      </c>
      <c r="H151" s="8">
        <f t="shared" si="4"/>
        <v>22</v>
      </c>
      <c r="I151" s="10" t="s">
        <v>785</v>
      </c>
      <c r="J151" s="24" t="str">
        <f t="shared" si="5"/>
        <v>2024-01</v>
      </c>
    </row>
    <row r="152" spans="1:10" ht="14" x14ac:dyDescent="0.2">
      <c r="A152" s="10">
        <v>45295</v>
      </c>
      <c r="B152" s="10">
        <v>45299</v>
      </c>
      <c r="C152" s="7">
        <f>Table1[[#This Row],[Check-out Date]]-Table1[[#This Row],[Check-in Date]]</f>
        <v>4</v>
      </c>
      <c r="D152" s="7" t="s">
        <v>295</v>
      </c>
      <c r="E152" s="7" t="s">
        <v>865</v>
      </c>
      <c r="F152" s="14">
        <v>701.34</v>
      </c>
      <c r="G152" s="14">
        <f>Table1[[#This Row],[FULL AMOUNT usd]]*20</f>
        <v>14026.800000000001</v>
      </c>
      <c r="H152" s="8">
        <f t="shared" si="4"/>
        <v>140.268</v>
      </c>
      <c r="I152" s="10" t="s">
        <v>974</v>
      </c>
      <c r="J152" s="24" t="str">
        <f t="shared" si="5"/>
        <v>2024-01</v>
      </c>
    </row>
    <row r="153" spans="1:10" ht="14" x14ac:dyDescent="0.2">
      <c r="A153" s="10">
        <v>45295</v>
      </c>
      <c r="B153" s="10">
        <v>45301</v>
      </c>
      <c r="C153" s="7">
        <f>Table1[[#This Row],[Check-out Date]]-Table1[[#This Row],[Check-in Date]]</f>
        <v>6</v>
      </c>
      <c r="D153" s="7" t="s">
        <v>296</v>
      </c>
      <c r="E153" s="7" t="s">
        <v>871</v>
      </c>
      <c r="F153" s="14">
        <v>1266.54</v>
      </c>
      <c r="G153" s="14">
        <f>Table1[[#This Row],[FULL AMOUNT usd]]*20</f>
        <v>25330.799999999999</v>
      </c>
      <c r="H153" s="8">
        <f t="shared" si="4"/>
        <v>253.30799999999999</v>
      </c>
      <c r="I153" s="10" t="s">
        <v>974</v>
      </c>
      <c r="J153" s="24" t="str">
        <f t="shared" si="5"/>
        <v>2024-01</v>
      </c>
    </row>
    <row r="154" spans="1:10" ht="14" x14ac:dyDescent="0.2">
      <c r="A154" s="10">
        <v>45296</v>
      </c>
      <c r="B154" s="10">
        <v>45299</v>
      </c>
      <c r="C154" s="7">
        <f>Table1[[#This Row],[Check-out Date]]-Table1[[#This Row],[Check-in Date]]</f>
        <v>3</v>
      </c>
      <c r="D154" s="7" t="s">
        <v>295</v>
      </c>
      <c r="E154" s="7" t="s">
        <v>870</v>
      </c>
      <c r="F154" s="14">
        <v>663.57</v>
      </c>
      <c r="G154" s="14">
        <f>Table1[[#This Row],[FULL AMOUNT usd]]*20</f>
        <v>13271.400000000001</v>
      </c>
      <c r="H154" s="8">
        <f t="shared" si="4"/>
        <v>132.71400000000003</v>
      </c>
      <c r="I154" s="10" t="s">
        <v>785</v>
      </c>
      <c r="J154" s="24" t="str">
        <f t="shared" si="5"/>
        <v>2024-01</v>
      </c>
    </row>
    <row r="155" spans="1:10" ht="14" x14ac:dyDescent="0.2">
      <c r="A155" s="10">
        <v>45297</v>
      </c>
      <c r="B155" s="10">
        <v>45299</v>
      </c>
      <c r="C155" s="7">
        <f>Table1[[#This Row],[Check-out Date]]-Table1[[#This Row],[Check-in Date]]</f>
        <v>2</v>
      </c>
      <c r="D155" s="7" t="s">
        <v>297</v>
      </c>
      <c r="E155" s="7" t="s">
        <v>872</v>
      </c>
      <c r="F155" s="14">
        <v>371.68</v>
      </c>
      <c r="G155" s="14">
        <f>Table1[[#This Row],[FULL AMOUNT usd]]*20</f>
        <v>7433.6</v>
      </c>
      <c r="H155" s="8">
        <f t="shared" si="4"/>
        <v>74.335999999999999</v>
      </c>
      <c r="I155" s="10" t="s">
        <v>785</v>
      </c>
      <c r="J155" s="24" t="str">
        <f t="shared" si="5"/>
        <v>2024-01</v>
      </c>
    </row>
    <row r="156" spans="1:10" x14ac:dyDescent="0.15">
      <c r="A156" s="10">
        <v>45297</v>
      </c>
      <c r="B156" s="10">
        <v>45299</v>
      </c>
      <c r="C156" s="7">
        <f>Table1[[#This Row],[Check-out Date]]-Table1[[#This Row],[Check-in Date]]</f>
        <v>2</v>
      </c>
      <c r="D156" s="7" t="s">
        <v>297</v>
      </c>
      <c r="F156" s="14">
        <v>861.2</v>
      </c>
      <c r="G156" s="14">
        <f>Table1[[#This Row],[FULL AMOUNT usd]]*20</f>
        <v>17224</v>
      </c>
      <c r="H156" s="8">
        <f t="shared" si="4"/>
        <v>172.24</v>
      </c>
      <c r="I156" s="7" t="s">
        <v>785</v>
      </c>
      <c r="J156" s="2" t="str">
        <f t="shared" si="5"/>
        <v>2024-01</v>
      </c>
    </row>
    <row r="157" spans="1:10" ht="14" x14ac:dyDescent="0.2">
      <c r="A157" s="10">
        <v>45299</v>
      </c>
      <c r="B157" s="10">
        <v>45305</v>
      </c>
      <c r="C157" s="7">
        <f>Table1[[#This Row],[Check-out Date]]-Table1[[#This Row],[Check-in Date]]</f>
        <v>6</v>
      </c>
      <c r="D157" s="7" t="s">
        <v>297</v>
      </c>
      <c r="E157" s="7" t="s">
        <v>867</v>
      </c>
      <c r="F157" s="14">
        <v>2663.44</v>
      </c>
      <c r="G157" s="14">
        <f>Table1[[#This Row],[FULL AMOUNT usd]]*20</f>
        <v>53268.800000000003</v>
      </c>
      <c r="H157" s="8">
        <f t="shared" si="4"/>
        <v>532.68799999999999</v>
      </c>
      <c r="I157" s="10" t="s">
        <v>810</v>
      </c>
      <c r="J157" s="24" t="str">
        <f t="shared" si="5"/>
        <v>2024-01</v>
      </c>
    </row>
    <row r="158" spans="1:10" x14ac:dyDescent="0.15">
      <c r="A158" s="10">
        <v>45299</v>
      </c>
      <c r="B158" s="10">
        <v>45303</v>
      </c>
      <c r="C158" s="7">
        <f>Table1[[#This Row],[Check-out Date]]-Table1[[#This Row],[Check-in Date]]</f>
        <v>4</v>
      </c>
      <c r="D158" s="7" t="s">
        <v>297</v>
      </c>
      <c r="F158" s="14">
        <v>507</v>
      </c>
      <c r="G158" s="14">
        <f>Table1[[#This Row],[FULL AMOUNT usd]]*20</f>
        <v>10140</v>
      </c>
      <c r="H158" s="8">
        <f t="shared" si="4"/>
        <v>101.4</v>
      </c>
      <c r="I158" s="7" t="s">
        <v>1157</v>
      </c>
      <c r="J158" s="2" t="str">
        <f t="shared" si="5"/>
        <v>2024-01</v>
      </c>
    </row>
    <row r="159" spans="1:10" ht="14" x14ac:dyDescent="0.2">
      <c r="A159" s="10">
        <v>45301</v>
      </c>
      <c r="B159" s="10">
        <v>45304</v>
      </c>
      <c r="C159" s="7">
        <f>Table1[[#This Row],[Check-out Date]]-Table1[[#This Row],[Check-in Date]]</f>
        <v>3</v>
      </c>
      <c r="D159" s="7" t="s">
        <v>295</v>
      </c>
      <c r="E159" s="7" t="s">
        <v>873</v>
      </c>
      <c r="F159" s="14">
        <v>362.98</v>
      </c>
      <c r="G159" s="14">
        <f>Table1[[#This Row],[FULL AMOUNT usd]]*20</f>
        <v>7259.6</v>
      </c>
      <c r="H159" s="8">
        <f t="shared" si="4"/>
        <v>72.596000000000004</v>
      </c>
      <c r="I159" s="10" t="s">
        <v>785</v>
      </c>
      <c r="J159" s="24" t="str">
        <f t="shared" si="5"/>
        <v>2024-01</v>
      </c>
    </row>
    <row r="160" spans="1:10" ht="14" x14ac:dyDescent="0.2">
      <c r="A160" s="10">
        <v>45303</v>
      </c>
      <c r="B160" s="10">
        <v>45306</v>
      </c>
      <c r="C160" s="7">
        <f>Table1[[#This Row],[Check-out Date]]-Table1[[#This Row],[Check-in Date]]</f>
        <v>3</v>
      </c>
      <c r="D160" s="7" t="s">
        <v>295</v>
      </c>
      <c r="E160" s="7" t="s">
        <v>819</v>
      </c>
      <c r="F160" s="14">
        <v>15840</v>
      </c>
      <c r="G160" s="14">
        <f>Table1[[#This Row],[FULL AMOUNT usd]]*20</f>
        <v>316800</v>
      </c>
      <c r="H160" s="8">
        <f t="shared" si="4"/>
        <v>3168</v>
      </c>
      <c r="I160" s="10" t="s">
        <v>785</v>
      </c>
      <c r="J160" s="24" t="str">
        <f t="shared" si="5"/>
        <v>2024-01</v>
      </c>
    </row>
    <row r="161" spans="1:10" ht="14" x14ac:dyDescent="0.2">
      <c r="A161" s="10">
        <v>45303</v>
      </c>
      <c r="B161" s="10">
        <v>45306</v>
      </c>
      <c r="C161" s="7">
        <f>Table1[[#This Row],[Check-out Date]]-Table1[[#This Row],[Check-in Date]]</f>
        <v>3</v>
      </c>
      <c r="D161" s="7" t="s">
        <v>295</v>
      </c>
      <c r="E161" s="7" t="s">
        <v>819</v>
      </c>
      <c r="F161" s="14">
        <v>15840</v>
      </c>
      <c r="G161" s="14">
        <f>Table1[[#This Row],[FULL AMOUNT usd]]*20</f>
        <v>316800</v>
      </c>
      <c r="H161" s="8">
        <f t="shared" si="4"/>
        <v>3168</v>
      </c>
      <c r="I161" s="10" t="s">
        <v>810</v>
      </c>
      <c r="J161" s="24" t="str">
        <f t="shared" si="5"/>
        <v>2024-01</v>
      </c>
    </row>
    <row r="162" spans="1:10" ht="14" x14ac:dyDescent="0.2">
      <c r="A162" s="10">
        <v>45303</v>
      </c>
      <c r="B162" s="10">
        <v>45305</v>
      </c>
      <c r="C162" s="7">
        <f>Table1[[#This Row],[Check-out Date]]-Table1[[#This Row],[Check-in Date]]</f>
        <v>2</v>
      </c>
      <c r="D162" s="7" t="s">
        <v>296</v>
      </c>
      <c r="E162" s="7" t="s">
        <v>850</v>
      </c>
      <c r="F162" s="14">
        <v>210</v>
      </c>
      <c r="G162" s="14">
        <f>Table1[[#This Row],[FULL AMOUNT usd]]*20</f>
        <v>4200</v>
      </c>
      <c r="H162" s="8">
        <f t="shared" si="4"/>
        <v>42</v>
      </c>
      <c r="I162" s="10" t="s">
        <v>785</v>
      </c>
      <c r="J162" s="24" t="str">
        <f t="shared" si="5"/>
        <v>2024-01</v>
      </c>
    </row>
    <row r="163" spans="1:10" ht="14" x14ac:dyDescent="0.2">
      <c r="A163" s="10">
        <v>45305</v>
      </c>
      <c r="B163" s="10">
        <v>45308</v>
      </c>
      <c r="C163" s="7">
        <f>Table1[[#This Row],[Check-out Date]]-Table1[[#This Row],[Check-in Date]]</f>
        <v>3</v>
      </c>
      <c r="D163" s="7" t="s">
        <v>296</v>
      </c>
      <c r="E163" s="7" t="s">
        <v>828</v>
      </c>
      <c r="F163" s="14">
        <v>404</v>
      </c>
      <c r="G163" s="14">
        <f>Table1[[#This Row],[FULL AMOUNT usd]]*20</f>
        <v>8080</v>
      </c>
      <c r="H163" s="8">
        <f t="shared" si="4"/>
        <v>80.800000000000011</v>
      </c>
      <c r="I163" s="10" t="s">
        <v>810</v>
      </c>
      <c r="J163" s="24" t="str">
        <f t="shared" si="5"/>
        <v>2024-01</v>
      </c>
    </row>
    <row r="164" spans="1:10" ht="14" x14ac:dyDescent="0.2">
      <c r="A164" s="10">
        <v>45334</v>
      </c>
      <c r="B164" s="10">
        <v>45340</v>
      </c>
      <c r="C164" s="7">
        <f>Table1[[#This Row],[Check-out Date]]-Table1[[#This Row],[Check-in Date]]</f>
        <v>6</v>
      </c>
      <c r="D164" s="7" t="s">
        <v>295</v>
      </c>
      <c r="E164" s="7" t="s">
        <v>874</v>
      </c>
      <c r="F164" s="14">
        <v>963.54</v>
      </c>
      <c r="G164" s="14">
        <f>Table1[[#This Row],[FULL AMOUNT usd]]*20</f>
        <v>19270.8</v>
      </c>
      <c r="H164" s="8">
        <f t="shared" si="4"/>
        <v>192.708</v>
      </c>
      <c r="I164" s="10" t="s">
        <v>810</v>
      </c>
      <c r="J164" s="24" t="str">
        <f t="shared" si="5"/>
        <v>2024-02</v>
      </c>
    </row>
    <row r="165" spans="1:10" ht="14" x14ac:dyDescent="0.2">
      <c r="A165" s="10">
        <v>45334</v>
      </c>
      <c r="B165" s="10">
        <v>45424</v>
      </c>
      <c r="C165" s="7">
        <f>Table1[[#This Row],[Check-out Date]]-Table1[[#This Row],[Check-in Date]]</f>
        <v>90</v>
      </c>
      <c r="D165" s="7" t="s">
        <v>296</v>
      </c>
      <c r="E165" s="7" t="s">
        <v>875</v>
      </c>
      <c r="F165" s="14">
        <v>3450</v>
      </c>
      <c r="G165" s="14">
        <f>Table1[[#This Row],[FULL AMOUNT usd]]*20</f>
        <v>69000</v>
      </c>
      <c r="H165" s="8">
        <f t="shared" si="4"/>
        <v>690</v>
      </c>
      <c r="I165" s="10" t="s">
        <v>810</v>
      </c>
      <c r="J165" s="24" t="str">
        <f t="shared" si="5"/>
        <v>2024-02</v>
      </c>
    </row>
    <row r="166" spans="1:10" ht="14" x14ac:dyDescent="0.2">
      <c r="A166" s="10">
        <v>45334</v>
      </c>
      <c r="B166" s="10">
        <v>45424</v>
      </c>
      <c r="C166" s="7">
        <f>Table1[[#This Row],[Check-out Date]]-Table1[[#This Row],[Check-in Date]]</f>
        <v>90</v>
      </c>
      <c r="D166" s="7" t="s">
        <v>296</v>
      </c>
      <c r="E166" s="7" t="s">
        <v>875</v>
      </c>
      <c r="F166" s="14">
        <v>600</v>
      </c>
      <c r="G166" s="14">
        <f>Table1[[#This Row],[FULL AMOUNT usd]]*20</f>
        <v>12000</v>
      </c>
      <c r="H166" s="8">
        <f t="shared" si="4"/>
        <v>120</v>
      </c>
      <c r="I166" s="10" t="s">
        <v>810</v>
      </c>
      <c r="J166" s="24" t="str">
        <f t="shared" si="5"/>
        <v>2024-02</v>
      </c>
    </row>
    <row r="167" spans="1:10" ht="14" x14ac:dyDescent="0.2">
      <c r="A167" s="10">
        <v>45338</v>
      </c>
      <c r="B167" s="10">
        <v>45343</v>
      </c>
      <c r="C167" s="7">
        <f>Table1[[#This Row],[Check-out Date]]-Table1[[#This Row],[Check-in Date]]</f>
        <v>5</v>
      </c>
      <c r="D167" s="7" t="s">
        <v>297</v>
      </c>
      <c r="E167" s="7" t="s">
        <v>876</v>
      </c>
      <c r="F167" s="14">
        <v>861.2</v>
      </c>
      <c r="G167" s="14">
        <f>Table1[[#This Row],[FULL AMOUNT usd]]*20</f>
        <v>17224</v>
      </c>
      <c r="H167" s="8">
        <f t="shared" si="4"/>
        <v>172.24</v>
      </c>
      <c r="I167" s="10" t="s">
        <v>785</v>
      </c>
      <c r="J167" s="24" t="str">
        <f t="shared" si="5"/>
        <v>2024-02</v>
      </c>
    </row>
    <row r="168" spans="1:10" x14ac:dyDescent="0.15">
      <c r="A168" s="10">
        <v>45338</v>
      </c>
      <c r="B168" s="10">
        <v>45343</v>
      </c>
      <c r="C168" s="7">
        <f>Table1[[#This Row],[Check-out Date]]-Table1[[#This Row],[Check-in Date]]</f>
        <v>5</v>
      </c>
      <c r="D168" s="7" t="s">
        <v>297</v>
      </c>
      <c r="F168" s="14">
        <v>813.05</v>
      </c>
      <c r="G168" s="14">
        <f>Table1[[#This Row],[FULL AMOUNT usd]]*20</f>
        <v>16261</v>
      </c>
      <c r="H168" s="8">
        <f t="shared" si="4"/>
        <v>162.61000000000001</v>
      </c>
      <c r="I168" s="7" t="s">
        <v>1157</v>
      </c>
      <c r="J168" s="2" t="str">
        <f t="shared" si="5"/>
        <v>2024-02</v>
      </c>
    </row>
    <row r="169" spans="1:10" ht="14" x14ac:dyDescent="0.2">
      <c r="A169" s="10">
        <v>45344</v>
      </c>
      <c r="B169" s="10">
        <v>45351</v>
      </c>
      <c r="C169" s="7">
        <f>Table1[[#This Row],[Check-out Date]]-Table1[[#This Row],[Check-in Date]]</f>
        <v>7</v>
      </c>
      <c r="D169" s="7" t="s">
        <v>295</v>
      </c>
      <c r="E169" s="7" t="s">
        <v>877</v>
      </c>
      <c r="F169" s="14">
        <v>1114.03</v>
      </c>
      <c r="G169" s="14">
        <f>Table1[[#This Row],[FULL AMOUNT usd]]*20</f>
        <v>22280.6</v>
      </c>
      <c r="H169" s="8">
        <f t="shared" si="4"/>
        <v>222.80600000000001</v>
      </c>
      <c r="I169" s="10" t="s">
        <v>810</v>
      </c>
      <c r="J169" s="24" t="str">
        <f t="shared" si="5"/>
        <v>2024-02</v>
      </c>
    </row>
    <row r="170" spans="1:10" ht="14" x14ac:dyDescent="0.2">
      <c r="A170" s="10">
        <v>45350</v>
      </c>
      <c r="B170" s="10">
        <v>45355</v>
      </c>
      <c r="C170" s="7">
        <f>Table1[[#This Row],[Check-out Date]]-Table1[[#This Row],[Check-in Date]]</f>
        <v>5</v>
      </c>
      <c r="D170" s="7" t="s">
        <v>297</v>
      </c>
      <c r="E170" s="7" t="s">
        <v>878</v>
      </c>
      <c r="F170" s="14">
        <v>813.05</v>
      </c>
      <c r="G170" s="14">
        <f>Table1[[#This Row],[FULL AMOUNT usd]]*20</f>
        <v>16261</v>
      </c>
      <c r="H170" s="8">
        <f t="shared" si="4"/>
        <v>162.61000000000001</v>
      </c>
      <c r="I170" s="10" t="s">
        <v>905</v>
      </c>
      <c r="J170" s="24" t="str">
        <f t="shared" si="5"/>
        <v>2024-02</v>
      </c>
    </row>
    <row r="171" spans="1:10" ht="14" x14ac:dyDescent="0.2">
      <c r="A171" s="10">
        <v>45350</v>
      </c>
      <c r="B171" s="10">
        <v>45357</v>
      </c>
      <c r="C171" s="7">
        <f>Table1[[#This Row],[Check-out Date]]-Table1[[#This Row],[Check-in Date]]</f>
        <v>7</v>
      </c>
      <c r="D171" s="7" t="s">
        <v>297</v>
      </c>
      <c r="E171" s="7" t="s">
        <v>879</v>
      </c>
      <c r="F171" s="14">
        <v>646.4</v>
      </c>
      <c r="G171" s="14">
        <f>Table1[[#This Row],[FULL AMOUNT usd]]*20</f>
        <v>12928</v>
      </c>
      <c r="H171" s="8">
        <f t="shared" si="4"/>
        <v>129.28</v>
      </c>
      <c r="I171" s="10" t="s">
        <v>810</v>
      </c>
      <c r="J171" s="24" t="str">
        <f t="shared" si="5"/>
        <v>2024-02</v>
      </c>
    </row>
    <row r="172" spans="1:10" x14ac:dyDescent="0.15">
      <c r="A172" s="10">
        <v>45350</v>
      </c>
      <c r="B172" s="10">
        <v>45355</v>
      </c>
      <c r="C172" s="7">
        <f>Table1[[#This Row],[Check-out Date]]-Table1[[#This Row],[Check-in Date]]</f>
        <v>5</v>
      </c>
      <c r="D172" s="7" t="s">
        <v>297</v>
      </c>
      <c r="F172" s="14">
        <v>646.4</v>
      </c>
      <c r="G172" s="14">
        <f>Table1[[#This Row],[FULL AMOUNT usd]]*20</f>
        <v>12928</v>
      </c>
      <c r="H172" s="8">
        <f t="shared" si="4"/>
        <v>129.28</v>
      </c>
      <c r="I172" s="7" t="s">
        <v>1157</v>
      </c>
      <c r="J172" s="2" t="str">
        <f t="shared" si="5"/>
        <v>2024-02</v>
      </c>
    </row>
    <row r="173" spans="1:10" x14ac:dyDescent="0.15">
      <c r="A173" s="10">
        <v>45350</v>
      </c>
      <c r="B173" s="10">
        <v>45357</v>
      </c>
      <c r="C173" s="7">
        <f>Table1[[#This Row],[Check-out Date]]-Table1[[#This Row],[Check-in Date]]</f>
        <v>7</v>
      </c>
      <c r="D173" s="7" t="s">
        <v>297</v>
      </c>
      <c r="F173" s="14">
        <v>1657</v>
      </c>
      <c r="G173" s="14">
        <f>Table1[[#This Row],[FULL AMOUNT usd]]*20</f>
        <v>33140</v>
      </c>
      <c r="H173" s="8">
        <f t="shared" si="4"/>
        <v>331.40000000000003</v>
      </c>
      <c r="I173" s="7" t="s">
        <v>1157</v>
      </c>
      <c r="J173" s="2" t="str">
        <f t="shared" si="5"/>
        <v>2024-02</v>
      </c>
    </row>
    <row r="174" spans="1:10" ht="14" x14ac:dyDescent="0.2">
      <c r="A174" s="10">
        <v>45359</v>
      </c>
      <c r="B174" s="10">
        <v>45369</v>
      </c>
      <c r="C174" s="7">
        <f>Table1[[#This Row],[Check-out Date]]-Table1[[#This Row],[Check-in Date]]</f>
        <v>10</v>
      </c>
      <c r="D174" s="7" t="s">
        <v>297</v>
      </c>
      <c r="E174" s="7" t="s">
        <v>880</v>
      </c>
      <c r="F174" s="14">
        <v>1657</v>
      </c>
      <c r="G174" s="14">
        <f>Table1[[#This Row],[FULL AMOUNT usd]]*20</f>
        <v>33140</v>
      </c>
      <c r="H174" s="8">
        <f t="shared" si="4"/>
        <v>331.40000000000003</v>
      </c>
      <c r="I174" s="10" t="s">
        <v>810</v>
      </c>
      <c r="J174" s="24" t="str">
        <f t="shared" si="5"/>
        <v>2024-03</v>
      </c>
    </row>
    <row r="175" spans="1:10" x14ac:dyDescent="0.15">
      <c r="A175" s="10">
        <v>45359</v>
      </c>
      <c r="B175" s="10">
        <v>45369</v>
      </c>
      <c r="C175" s="7">
        <f>Table1[[#This Row],[Check-out Date]]-Table1[[#This Row],[Check-in Date]]</f>
        <v>10</v>
      </c>
      <c r="D175" s="7" t="s">
        <v>297</v>
      </c>
      <c r="F175" s="14">
        <v>950</v>
      </c>
      <c r="G175" s="14">
        <f>Table1[[#This Row],[FULL AMOUNT usd]]*20</f>
        <v>19000</v>
      </c>
      <c r="H175" s="8">
        <f t="shared" si="4"/>
        <v>190</v>
      </c>
      <c r="I175" s="7" t="s">
        <v>1157</v>
      </c>
      <c r="J175" s="2" t="str">
        <f t="shared" si="5"/>
        <v>2024-03</v>
      </c>
    </row>
    <row r="176" spans="1:10" ht="14" x14ac:dyDescent="0.2">
      <c r="A176" s="10">
        <v>45366</v>
      </c>
      <c r="B176" s="10">
        <v>45369</v>
      </c>
      <c r="C176" s="7">
        <f>Table1[[#This Row],[Check-out Date]]-Table1[[#This Row],[Check-in Date]]</f>
        <v>3</v>
      </c>
      <c r="D176" s="7" t="s">
        <v>295</v>
      </c>
      <c r="E176" s="7" t="s">
        <v>883</v>
      </c>
      <c r="F176" s="14">
        <v>420</v>
      </c>
      <c r="G176" s="14">
        <f>Table1[[#This Row],[FULL AMOUNT usd]]*20</f>
        <v>8400</v>
      </c>
      <c r="H176" s="8">
        <f t="shared" si="4"/>
        <v>84</v>
      </c>
      <c r="I176" s="10" t="s">
        <v>974</v>
      </c>
      <c r="J176" s="24" t="str">
        <f t="shared" si="5"/>
        <v>2024-03</v>
      </c>
    </row>
    <row r="177" spans="1:10" ht="14" x14ac:dyDescent="0.2">
      <c r="A177" s="10">
        <v>45369</v>
      </c>
      <c r="B177" s="10">
        <v>45400</v>
      </c>
      <c r="C177" s="7">
        <f>Table1[[#This Row],[Check-out Date]]-Table1[[#This Row],[Check-in Date]]</f>
        <v>31</v>
      </c>
      <c r="D177" s="7" t="s">
        <v>297</v>
      </c>
      <c r="E177" s="7" t="s">
        <v>882</v>
      </c>
      <c r="F177" s="14">
        <v>950</v>
      </c>
      <c r="G177" s="14">
        <f>Table1[[#This Row],[FULL AMOUNT usd]]*20</f>
        <v>19000</v>
      </c>
      <c r="H177" s="8">
        <f t="shared" si="4"/>
        <v>190</v>
      </c>
      <c r="I177" s="10" t="s">
        <v>810</v>
      </c>
      <c r="J177" s="24" t="str">
        <f t="shared" si="5"/>
        <v>2024-03</v>
      </c>
    </row>
    <row r="178" spans="1:10" ht="14" x14ac:dyDescent="0.2">
      <c r="A178" s="10">
        <v>45369</v>
      </c>
      <c r="B178" s="10">
        <v>45380</v>
      </c>
      <c r="C178" s="7">
        <f>Table1[[#This Row],[Check-out Date]]-Table1[[#This Row],[Check-in Date]]</f>
        <v>11</v>
      </c>
      <c r="D178" s="7" t="s">
        <v>295</v>
      </c>
      <c r="E178" s="7" t="s">
        <v>881</v>
      </c>
      <c r="F178" s="14">
        <v>1887.3</v>
      </c>
      <c r="G178" s="14">
        <f>Table1[[#This Row],[FULL AMOUNT usd]]*20</f>
        <v>37746</v>
      </c>
      <c r="H178" s="8">
        <f t="shared" si="4"/>
        <v>377.46000000000004</v>
      </c>
      <c r="I178" s="10" t="s">
        <v>810</v>
      </c>
      <c r="J178" s="24" t="str">
        <f t="shared" si="5"/>
        <v>2024-03</v>
      </c>
    </row>
    <row r="179" spans="1:10" x14ac:dyDescent="0.15">
      <c r="A179" s="10">
        <v>45369</v>
      </c>
      <c r="B179" s="10">
        <v>45400</v>
      </c>
      <c r="C179" s="7">
        <f>Table1[[#This Row],[Check-out Date]]-Table1[[#This Row],[Check-in Date]]</f>
        <v>31</v>
      </c>
      <c r="D179" s="7" t="s">
        <v>297</v>
      </c>
      <c r="F179" s="14">
        <v>701.68</v>
      </c>
      <c r="G179" s="14">
        <f>Table1[[#This Row],[FULL AMOUNT usd]]*20</f>
        <v>14033.599999999999</v>
      </c>
      <c r="H179" s="8">
        <f t="shared" si="4"/>
        <v>140.33599999999998</v>
      </c>
      <c r="I179" s="7" t="s">
        <v>1157</v>
      </c>
      <c r="J179" s="2" t="str">
        <f t="shared" si="5"/>
        <v>2024-03</v>
      </c>
    </row>
    <row r="180" spans="1:10" ht="14" x14ac:dyDescent="0.2">
      <c r="A180" s="10">
        <v>45378</v>
      </c>
      <c r="B180" s="10">
        <v>45382</v>
      </c>
      <c r="C180" s="7">
        <f>Table1[[#This Row],[Check-out Date]]-Table1[[#This Row],[Check-in Date]]</f>
        <v>4</v>
      </c>
      <c r="D180" s="7" t="s">
        <v>297</v>
      </c>
      <c r="E180" s="7" t="s">
        <v>884</v>
      </c>
      <c r="F180" s="14">
        <v>701.68</v>
      </c>
      <c r="G180" s="14">
        <f>Table1[[#This Row],[FULL AMOUNT usd]]*20</f>
        <v>14033.599999999999</v>
      </c>
      <c r="H180" s="8">
        <f t="shared" si="4"/>
        <v>140.33599999999998</v>
      </c>
      <c r="I180" s="10" t="s">
        <v>810</v>
      </c>
      <c r="J180" s="24" t="str">
        <f t="shared" si="5"/>
        <v>2024-03</v>
      </c>
    </row>
    <row r="181" spans="1:10" x14ac:dyDescent="0.15">
      <c r="A181" s="10">
        <v>45378</v>
      </c>
      <c r="B181" s="10">
        <v>45382</v>
      </c>
      <c r="C181" s="7">
        <f>Table1[[#This Row],[Check-out Date]]-Table1[[#This Row],[Check-in Date]]</f>
        <v>4</v>
      </c>
      <c r="D181" s="7" t="s">
        <v>297</v>
      </c>
      <c r="F181" s="14">
        <v>1250</v>
      </c>
      <c r="G181" s="14">
        <f>Table1[[#This Row],[FULL AMOUNT usd]]*20</f>
        <v>25000</v>
      </c>
      <c r="H181" s="8">
        <f t="shared" si="4"/>
        <v>250</v>
      </c>
      <c r="I181" s="7" t="s">
        <v>1157</v>
      </c>
      <c r="J181" s="2" t="str">
        <f t="shared" si="5"/>
        <v>2024-03</v>
      </c>
    </row>
    <row r="182" spans="1:10" ht="14" x14ac:dyDescent="0.2">
      <c r="A182" s="10">
        <v>45379</v>
      </c>
      <c r="B182" s="10">
        <v>45382</v>
      </c>
      <c r="C182" s="7">
        <f>Table1[[#This Row],[Check-out Date]]-Table1[[#This Row],[Check-in Date]]</f>
        <v>3</v>
      </c>
      <c r="D182" s="7" t="s">
        <v>295</v>
      </c>
      <c r="E182" s="7" t="s">
        <v>886</v>
      </c>
      <c r="F182" s="14">
        <v>403.43</v>
      </c>
      <c r="G182" s="14">
        <f>Table1[[#This Row],[FULL AMOUNT usd]]*20</f>
        <v>8068.6</v>
      </c>
      <c r="H182" s="8">
        <f t="shared" si="4"/>
        <v>80.686000000000007</v>
      </c>
      <c r="I182" s="10" t="s">
        <v>810</v>
      </c>
      <c r="J182" s="24" t="str">
        <f t="shared" si="5"/>
        <v>2024-03</v>
      </c>
    </row>
    <row r="183" spans="1:10" ht="14" x14ac:dyDescent="0.2">
      <c r="A183" s="10">
        <v>45394</v>
      </c>
      <c r="B183" s="10">
        <v>45398</v>
      </c>
      <c r="C183" s="7">
        <f>Table1[[#This Row],[Check-out Date]]-Table1[[#This Row],[Check-in Date]]</f>
        <v>4</v>
      </c>
      <c r="D183" s="7" t="s">
        <v>295</v>
      </c>
      <c r="E183" s="7" t="s">
        <v>887</v>
      </c>
      <c r="F183" s="14">
        <v>456</v>
      </c>
      <c r="G183" s="14">
        <f>Table1[[#This Row],[FULL AMOUNT usd]]*20</f>
        <v>9120</v>
      </c>
      <c r="H183" s="8">
        <f t="shared" si="4"/>
        <v>91.2</v>
      </c>
      <c r="I183" s="10" t="s">
        <v>974</v>
      </c>
      <c r="J183" s="24" t="str">
        <f t="shared" si="5"/>
        <v>2024-04</v>
      </c>
    </row>
    <row r="184" spans="1:10" ht="14" x14ac:dyDescent="0.2">
      <c r="A184" s="10">
        <v>45398</v>
      </c>
      <c r="B184" s="10">
        <v>45428</v>
      </c>
      <c r="C184" s="7">
        <f>Table1[[#This Row],[Check-out Date]]-Table1[[#This Row],[Check-in Date]]</f>
        <v>30</v>
      </c>
      <c r="D184" s="7" t="s">
        <v>297</v>
      </c>
      <c r="E184" s="7" t="s">
        <v>882</v>
      </c>
      <c r="F184" s="14">
        <v>1250</v>
      </c>
      <c r="G184" s="14">
        <f>Table1[[#This Row],[FULL AMOUNT usd]]*20</f>
        <v>25000</v>
      </c>
      <c r="H184" s="8">
        <f t="shared" si="4"/>
        <v>250</v>
      </c>
      <c r="I184" s="10" t="s">
        <v>785</v>
      </c>
      <c r="J184" s="24" t="str">
        <f t="shared" si="5"/>
        <v>2024-04</v>
      </c>
    </row>
    <row r="185" spans="1:10" x14ac:dyDescent="0.15">
      <c r="A185" s="10">
        <v>45398</v>
      </c>
      <c r="B185" s="10">
        <v>45428</v>
      </c>
      <c r="C185" s="7">
        <f>Table1[[#This Row],[Check-out Date]]-Table1[[#This Row],[Check-in Date]]</f>
        <v>30</v>
      </c>
      <c r="D185" s="7" t="s">
        <v>297</v>
      </c>
      <c r="F185" s="14">
        <v>448.2</v>
      </c>
      <c r="G185" s="14">
        <f>Table1[[#This Row],[FULL AMOUNT usd]]*20</f>
        <v>8964</v>
      </c>
      <c r="H185" s="8">
        <f t="shared" si="4"/>
        <v>89.64</v>
      </c>
      <c r="I185" s="7" t="s">
        <v>1157</v>
      </c>
      <c r="J185" s="2" t="str">
        <f t="shared" si="5"/>
        <v>2024-04</v>
      </c>
    </row>
    <row r="186" spans="1:10" ht="14" x14ac:dyDescent="0.2">
      <c r="A186" s="10">
        <v>45404</v>
      </c>
      <c r="B186" s="10">
        <v>45407</v>
      </c>
      <c r="C186" s="7">
        <f>Table1[[#This Row],[Check-out Date]]-Table1[[#This Row],[Check-in Date]]</f>
        <v>3</v>
      </c>
      <c r="D186" s="7" t="s">
        <v>297</v>
      </c>
      <c r="E186" s="7" t="s">
        <v>889</v>
      </c>
      <c r="F186" s="14">
        <v>448.2</v>
      </c>
      <c r="G186" s="14">
        <f>Table1[[#This Row],[FULL AMOUNT usd]]*20</f>
        <v>8964</v>
      </c>
      <c r="H186" s="8">
        <f t="shared" si="4"/>
        <v>89.64</v>
      </c>
      <c r="I186" s="10" t="s">
        <v>974</v>
      </c>
      <c r="J186" s="24" t="str">
        <f t="shared" si="5"/>
        <v>2024-04</v>
      </c>
    </row>
    <row r="187" spans="1:10" x14ac:dyDescent="0.15">
      <c r="A187" s="10">
        <v>45404</v>
      </c>
      <c r="B187" s="10">
        <v>45407</v>
      </c>
      <c r="C187" s="7">
        <f>Table1[[#This Row],[Check-out Date]]-Table1[[#This Row],[Check-in Date]]</f>
        <v>3</v>
      </c>
      <c r="D187" s="7" t="s">
        <v>297</v>
      </c>
      <c r="F187" s="14">
        <v>807.8</v>
      </c>
      <c r="G187" s="14">
        <f>Table1[[#This Row],[FULL AMOUNT usd]]*20</f>
        <v>16156</v>
      </c>
      <c r="H187" s="8">
        <f t="shared" si="4"/>
        <v>161.56</v>
      </c>
      <c r="I187" s="7" t="s">
        <v>787</v>
      </c>
      <c r="J187" s="2" t="str">
        <f t="shared" si="5"/>
        <v>2024-04</v>
      </c>
    </row>
    <row r="188" spans="1:10" ht="14" x14ac:dyDescent="0.2">
      <c r="A188" s="10">
        <v>45409</v>
      </c>
      <c r="B188" s="10">
        <v>45416</v>
      </c>
      <c r="C188" s="7">
        <f>Table1[[#This Row],[Check-out Date]]-Table1[[#This Row],[Check-in Date]]</f>
        <v>7</v>
      </c>
      <c r="D188" s="7" t="s">
        <v>295</v>
      </c>
      <c r="E188" s="7" t="s">
        <v>888</v>
      </c>
      <c r="F188" s="14">
        <v>810</v>
      </c>
      <c r="G188" s="14">
        <f>Table1[[#This Row],[FULL AMOUNT usd]]*20</f>
        <v>16200</v>
      </c>
      <c r="H188" s="8">
        <f t="shared" si="4"/>
        <v>162</v>
      </c>
      <c r="I188" s="10" t="s">
        <v>810</v>
      </c>
      <c r="J188" s="24" t="str">
        <f t="shared" si="5"/>
        <v>2024-04</v>
      </c>
    </row>
    <row r="189" spans="1:10" ht="14" x14ac:dyDescent="0.2">
      <c r="A189" s="10">
        <v>45418</v>
      </c>
      <c r="B189" s="10">
        <v>45423</v>
      </c>
      <c r="C189" s="7">
        <f>Table1[[#This Row],[Check-out Date]]-Table1[[#This Row],[Check-in Date]]</f>
        <v>5</v>
      </c>
      <c r="D189" s="7" t="s">
        <v>297</v>
      </c>
      <c r="E189" s="7" t="s">
        <v>891</v>
      </c>
      <c r="F189" s="14">
        <v>807.8</v>
      </c>
      <c r="G189" s="14">
        <f>Table1[[#This Row],[FULL AMOUNT usd]]*20</f>
        <v>16156</v>
      </c>
      <c r="H189" s="8">
        <f t="shared" si="4"/>
        <v>161.56</v>
      </c>
      <c r="I189" s="10" t="s">
        <v>918</v>
      </c>
      <c r="J189" s="24" t="str">
        <f t="shared" si="5"/>
        <v>2024-05</v>
      </c>
    </row>
    <row r="190" spans="1:10" x14ac:dyDescent="0.15">
      <c r="A190" s="10">
        <v>45418</v>
      </c>
      <c r="B190" s="10">
        <v>45423</v>
      </c>
      <c r="C190" s="7">
        <f>Table1[[#This Row],[Check-out Date]]-Table1[[#This Row],[Check-in Date]]</f>
        <v>5</v>
      </c>
      <c r="D190" s="7" t="s">
        <v>297</v>
      </c>
      <c r="F190" s="14">
        <v>882</v>
      </c>
      <c r="G190" s="14">
        <f>Table1[[#This Row],[FULL AMOUNT usd]]*20</f>
        <v>17640</v>
      </c>
      <c r="H190" s="8">
        <f t="shared" si="4"/>
        <v>176.4</v>
      </c>
      <c r="I190" s="7" t="s">
        <v>787</v>
      </c>
      <c r="J190" s="2" t="str">
        <f t="shared" si="5"/>
        <v>2024-05</v>
      </c>
    </row>
    <row r="191" spans="1:10" ht="14" x14ac:dyDescent="0.2">
      <c r="A191" s="10">
        <v>45424</v>
      </c>
      <c r="B191" s="10">
        <v>45427</v>
      </c>
      <c r="C191" s="7">
        <f>Table1[[#This Row],[Check-out Date]]-Table1[[#This Row],[Check-in Date]]</f>
        <v>3</v>
      </c>
      <c r="D191" s="7" t="s">
        <v>297</v>
      </c>
      <c r="E191" s="7" t="s">
        <v>904</v>
      </c>
      <c r="F191" s="14">
        <v>257.64</v>
      </c>
      <c r="G191" s="14">
        <f>Table1[[#This Row],[FULL AMOUNT usd]]*20</f>
        <v>5152.7999999999993</v>
      </c>
      <c r="H191" s="8">
        <f t="shared" si="4"/>
        <v>51.527999999999999</v>
      </c>
      <c r="I191" s="10" t="s">
        <v>810</v>
      </c>
      <c r="J191" s="24" t="str">
        <f t="shared" si="5"/>
        <v>2024-05</v>
      </c>
    </row>
    <row r="192" spans="1:10" x14ac:dyDescent="0.15">
      <c r="A192" s="10">
        <v>45424</v>
      </c>
      <c r="B192" s="10">
        <v>45427</v>
      </c>
      <c r="C192" s="7">
        <f>Table1[[#This Row],[Check-out Date]]-Table1[[#This Row],[Check-in Date]]</f>
        <v>3</v>
      </c>
      <c r="D192" s="7" t="s">
        <v>297</v>
      </c>
      <c r="F192" s="14">
        <v>257.64</v>
      </c>
      <c r="G192" s="14">
        <f>Table1[[#This Row],[FULL AMOUNT usd]]*20</f>
        <v>5152.7999999999993</v>
      </c>
      <c r="H192" s="8">
        <f t="shared" si="4"/>
        <v>51.527999999999999</v>
      </c>
      <c r="I192" s="7" t="s">
        <v>787</v>
      </c>
      <c r="J192" s="2" t="str">
        <f t="shared" si="5"/>
        <v>2024-05</v>
      </c>
    </row>
    <row r="193" spans="1:10" ht="14" x14ac:dyDescent="0.2">
      <c r="A193" s="10">
        <v>45429</v>
      </c>
      <c r="B193" s="10">
        <v>45450</v>
      </c>
      <c r="C193" s="7">
        <f>Table1[[#This Row],[Check-out Date]]-Table1[[#This Row],[Check-in Date]]</f>
        <v>21</v>
      </c>
      <c r="D193" s="7" t="s">
        <v>297</v>
      </c>
      <c r="E193" s="7" t="s">
        <v>882</v>
      </c>
      <c r="F193" s="14">
        <v>882</v>
      </c>
      <c r="G193" s="14">
        <f>Table1[[#This Row],[FULL AMOUNT usd]]*20</f>
        <v>17640</v>
      </c>
      <c r="H193" s="8">
        <f t="shared" si="4"/>
        <v>176.4</v>
      </c>
      <c r="I193" s="10" t="s">
        <v>810</v>
      </c>
      <c r="J193" s="24" t="str">
        <f t="shared" si="5"/>
        <v>2024-05</v>
      </c>
    </row>
    <row r="194" spans="1:10" x14ac:dyDescent="0.15">
      <c r="A194" s="10">
        <v>45429</v>
      </c>
      <c r="B194" s="10">
        <v>45450</v>
      </c>
      <c r="C194" s="7">
        <f>Table1[[#This Row],[Check-out Date]]-Table1[[#This Row],[Check-in Date]]</f>
        <v>21</v>
      </c>
      <c r="D194" s="7" t="s">
        <v>297</v>
      </c>
      <c r="F194" s="14">
        <v>689.83</v>
      </c>
      <c r="G194" s="14">
        <f>Table1[[#This Row],[FULL AMOUNT usd]]*20</f>
        <v>13796.6</v>
      </c>
      <c r="H194" s="8">
        <f t="shared" ref="H194:H257" si="6">F194*0.2</f>
        <v>137.96600000000001</v>
      </c>
      <c r="I194" s="7" t="s">
        <v>787</v>
      </c>
      <c r="J194" s="2" t="str">
        <f t="shared" ref="J194:J257" si="7">YEAR(A194)&amp;"-"&amp;TEXT(MONTH(A194),"00")</f>
        <v>2024-05</v>
      </c>
    </row>
    <row r="195" spans="1:10" ht="14" x14ac:dyDescent="0.2">
      <c r="A195" s="10">
        <v>45435</v>
      </c>
      <c r="B195" s="10">
        <v>45438</v>
      </c>
      <c r="C195" s="7">
        <f>Table1[[#This Row],[Check-out Date]]-Table1[[#This Row],[Check-in Date]]</f>
        <v>3</v>
      </c>
      <c r="D195" s="7" t="s">
        <v>296</v>
      </c>
      <c r="E195" s="7" t="s">
        <v>890</v>
      </c>
      <c r="F195" s="14">
        <v>510.84</v>
      </c>
      <c r="G195" s="14">
        <f>Table1[[#This Row],[FULL AMOUNT usd]]*20</f>
        <v>10216.799999999999</v>
      </c>
      <c r="H195" s="8">
        <f t="shared" si="6"/>
        <v>102.16800000000001</v>
      </c>
      <c r="I195" s="10" t="s">
        <v>787</v>
      </c>
      <c r="J195" s="24" t="str">
        <f t="shared" si="7"/>
        <v>2024-05</v>
      </c>
    </row>
    <row r="196" spans="1:10" ht="14" x14ac:dyDescent="0.2">
      <c r="A196" s="10">
        <v>45436</v>
      </c>
      <c r="B196" s="10">
        <v>45438</v>
      </c>
      <c r="C196" s="7">
        <f>Table1[[#This Row],[Check-out Date]]-Table1[[#This Row],[Check-in Date]]</f>
        <v>2</v>
      </c>
      <c r="D196" s="7" t="s">
        <v>295</v>
      </c>
      <c r="E196" s="7" t="s">
        <v>856</v>
      </c>
      <c r="F196" s="14">
        <v>238</v>
      </c>
      <c r="G196" s="14">
        <f>Table1[[#This Row],[FULL AMOUNT usd]]*20</f>
        <v>4760</v>
      </c>
      <c r="H196" s="8">
        <f t="shared" si="6"/>
        <v>47.6</v>
      </c>
      <c r="I196" s="10" t="s">
        <v>810</v>
      </c>
      <c r="J196" s="24" t="str">
        <f t="shared" si="7"/>
        <v>2024-05</v>
      </c>
    </row>
    <row r="197" spans="1:10" ht="14" x14ac:dyDescent="0.2">
      <c r="A197" s="10">
        <v>45452</v>
      </c>
      <c r="B197" s="10">
        <v>45459</v>
      </c>
      <c r="C197" s="7">
        <f>Table1[[#This Row],[Check-out Date]]-Table1[[#This Row],[Check-in Date]]</f>
        <v>7</v>
      </c>
      <c r="D197" s="7" t="s">
        <v>297</v>
      </c>
      <c r="E197" s="7" t="s">
        <v>893</v>
      </c>
      <c r="F197" s="14">
        <v>689.83</v>
      </c>
      <c r="G197" s="14">
        <f>Table1[[#This Row],[FULL AMOUNT usd]]*20</f>
        <v>13796.6</v>
      </c>
      <c r="H197" s="8">
        <f t="shared" si="6"/>
        <v>137.96600000000001</v>
      </c>
      <c r="I197" s="10" t="s">
        <v>785</v>
      </c>
      <c r="J197" s="24" t="str">
        <f t="shared" si="7"/>
        <v>2024-06</v>
      </c>
    </row>
    <row r="198" spans="1:10" ht="14" x14ac:dyDescent="0.2">
      <c r="A198" s="10">
        <v>45456</v>
      </c>
      <c r="B198" s="10">
        <v>45460</v>
      </c>
      <c r="C198" s="7">
        <f>Table1[[#This Row],[Check-out Date]]-Table1[[#This Row],[Check-in Date]]</f>
        <v>4</v>
      </c>
      <c r="D198" s="7" t="s">
        <v>295</v>
      </c>
      <c r="E198" s="7" t="s">
        <v>892</v>
      </c>
      <c r="F198" s="14">
        <v>420.16</v>
      </c>
      <c r="G198" s="14">
        <f>Table1[[#This Row],[FULL AMOUNT usd]]*20</f>
        <v>8403.2000000000007</v>
      </c>
      <c r="H198" s="8">
        <f t="shared" si="6"/>
        <v>84.032000000000011</v>
      </c>
      <c r="I198" s="10" t="s">
        <v>810</v>
      </c>
      <c r="J198" s="24" t="str">
        <f t="shared" si="7"/>
        <v>2024-06</v>
      </c>
    </row>
    <row r="199" spans="1:10" ht="14" x14ac:dyDescent="0.2">
      <c r="A199" s="10">
        <v>45465</v>
      </c>
      <c r="B199" s="10">
        <v>45468</v>
      </c>
      <c r="C199" s="7">
        <f>Table1[[#This Row],[Check-out Date]]-Table1[[#This Row],[Check-in Date]]</f>
        <v>3</v>
      </c>
      <c r="D199" s="7" t="s">
        <v>297</v>
      </c>
      <c r="E199" s="7" t="s">
        <v>895</v>
      </c>
      <c r="F199" s="14">
        <v>430</v>
      </c>
      <c r="G199" s="14">
        <f>Table1[[#This Row],[FULL AMOUNT usd]]*20</f>
        <v>8600</v>
      </c>
      <c r="H199" s="8">
        <f t="shared" si="6"/>
        <v>86</v>
      </c>
      <c r="I199" s="10" t="s">
        <v>785</v>
      </c>
      <c r="J199" s="24" t="str">
        <f t="shared" si="7"/>
        <v>2024-06</v>
      </c>
    </row>
    <row r="200" spans="1:10" ht="14" x14ac:dyDescent="0.2">
      <c r="A200" s="10">
        <v>45465</v>
      </c>
      <c r="B200" s="10">
        <v>45468</v>
      </c>
      <c r="C200" s="7">
        <f>Table1[[#This Row],[Check-out Date]]-Table1[[#This Row],[Check-in Date]]</f>
        <v>3</v>
      </c>
      <c r="D200" s="7" t="s">
        <v>295</v>
      </c>
      <c r="E200" s="7" t="s">
        <v>894</v>
      </c>
      <c r="F200" s="14">
        <v>330.27</v>
      </c>
      <c r="G200" s="14">
        <f>Table1[[#This Row],[FULL AMOUNT usd]]*20</f>
        <v>6605.4</v>
      </c>
      <c r="H200" s="8">
        <f t="shared" si="6"/>
        <v>66.054000000000002</v>
      </c>
      <c r="I200" s="10" t="s">
        <v>810</v>
      </c>
      <c r="J200" s="24" t="str">
        <f t="shared" si="7"/>
        <v>2024-06</v>
      </c>
    </row>
    <row r="201" spans="1:10" x14ac:dyDescent="0.15">
      <c r="A201" s="10">
        <v>45465</v>
      </c>
      <c r="B201" s="10">
        <v>45468</v>
      </c>
      <c r="C201" s="7">
        <f>Table1[[#This Row],[Check-out Date]]-Table1[[#This Row],[Check-in Date]]</f>
        <v>3</v>
      </c>
      <c r="D201" s="7" t="s">
        <v>297</v>
      </c>
      <c r="F201" s="14">
        <v>430</v>
      </c>
      <c r="G201" s="14">
        <f>Table1[[#This Row],[FULL AMOUNT usd]]*20</f>
        <v>8600</v>
      </c>
      <c r="H201" s="8">
        <f t="shared" si="6"/>
        <v>86</v>
      </c>
      <c r="I201" s="7" t="s">
        <v>787</v>
      </c>
      <c r="J201" s="2" t="str">
        <f t="shared" si="7"/>
        <v>2024-06</v>
      </c>
    </row>
    <row r="202" spans="1:10" ht="14" x14ac:dyDescent="0.2">
      <c r="A202" s="10">
        <v>45482</v>
      </c>
      <c r="B202" s="10">
        <v>45486</v>
      </c>
      <c r="C202" s="7">
        <f>Table1[[#This Row],[Check-out Date]]-Table1[[#This Row],[Check-in Date]]</f>
        <v>4</v>
      </c>
      <c r="D202" s="7" t="s">
        <v>295</v>
      </c>
      <c r="E202" s="7" t="s">
        <v>896</v>
      </c>
      <c r="F202" s="14">
        <v>420.16</v>
      </c>
      <c r="G202" s="14">
        <f>Table1[[#This Row],[FULL AMOUNT usd]]*20</f>
        <v>8403.2000000000007</v>
      </c>
      <c r="H202" s="8">
        <f t="shared" si="6"/>
        <v>84.032000000000011</v>
      </c>
      <c r="I202" s="10" t="s">
        <v>785</v>
      </c>
      <c r="J202" s="24" t="str">
        <f t="shared" si="7"/>
        <v>2024-07</v>
      </c>
    </row>
    <row r="203" spans="1:10" ht="14" x14ac:dyDescent="0.2">
      <c r="A203" s="10">
        <v>45491</v>
      </c>
      <c r="B203" s="10">
        <v>45496</v>
      </c>
      <c r="C203" s="7">
        <f>Table1[[#This Row],[Check-out Date]]-Table1[[#This Row],[Check-in Date]]</f>
        <v>5</v>
      </c>
      <c r="D203" s="7" t="s">
        <v>297</v>
      </c>
      <c r="E203" s="7" t="s">
        <v>898</v>
      </c>
      <c r="F203" s="14">
        <v>730.05</v>
      </c>
      <c r="G203" s="14">
        <f>Table1[[#This Row],[FULL AMOUNT usd]]*20</f>
        <v>14601</v>
      </c>
      <c r="H203" s="8">
        <f t="shared" si="6"/>
        <v>146.01</v>
      </c>
      <c r="I203" s="10" t="s">
        <v>785</v>
      </c>
      <c r="J203" s="24" t="str">
        <f t="shared" si="7"/>
        <v>2024-07</v>
      </c>
    </row>
    <row r="204" spans="1:10" ht="14" x14ac:dyDescent="0.2">
      <c r="A204" s="10">
        <v>45491</v>
      </c>
      <c r="B204" s="10">
        <v>45494</v>
      </c>
      <c r="C204" s="7">
        <f>Table1[[#This Row],[Check-out Date]]-Table1[[#This Row],[Check-in Date]]</f>
        <v>3</v>
      </c>
      <c r="D204" s="7" t="s">
        <v>296</v>
      </c>
      <c r="E204" s="7" t="s">
        <v>897</v>
      </c>
      <c r="F204" s="14">
        <v>330.27</v>
      </c>
      <c r="G204" s="14">
        <f>Table1[[#This Row],[FULL AMOUNT usd]]*20</f>
        <v>6605.4</v>
      </c>
      <c r="H204" s="8">
        <f t="shared" si="6"/>
        <v>66.054000000000002</v>
      </c>
      <c r="I204" s="10" t="s">
        <v>785</v>
      </c>
      <c r="J204" s="24" t="str">
        <f t="shared" si="7"/>
        <v>2024-07</v>
      </c>
    </row>
    <row r="205" spans="1:10" x14ac:dyDescent="0.15">
      <c r="A205" s="10">
        <v>45491</v>
      </c>
      <c r="B205" s="10">
        <v>45496</v>
      </c>
      <c r="C205" s="7">
        <f>Table1[[#This Row],[Check-out Date]]-Table1[[#This Row],[Check-in Date]]</f>
        <v>5</v>
      </c>
      <c r="D205" s="7" t="s">
        <v>297</v>
      </c>
      <c r="F205" s="14">
        <v>730.05</v>
      </c>
      <c r="G205" s="14">
        <f>Table1[[#This Row],[FULL AMOUNT usd]]*20</f>
        <v>14601</v>
      </c>
      <c r="H205" s="8">
        <f t="shared" si="6"/>
        <v>146.01</v>
      </c>
      <c r="I205" s="7" t="s">
        <v>787</v>
      </c>
      <c r="J205" s="2" t="str">
        <f t="shared" si="7"/>
        <v>2024-07</v>
      </c>
    </row>
    <row r="206" spans="1:10" ht="14" x14ac:dyDescent="0.2">
      <c r="A206" s="10">
        <v>45492</v>
      </c>
      <c r="B206" s="10">
        <v>45496</v>
      </c>
      <c r="C206" s="7">
        <f>Table1[[#This Row],[Check-out Date]]-Table1[[#This Row],[Check-in Date]]</f>
        <v>4</v>
      </c>
      <c r="D206" s="7" t="s">
        <v>295</v>
      </c>
      <c r="E206" s="7" t="s">
        <v>899</v>
      </c>
      <c r="F206" s="14">
        <v>420.16</v>
      </c>
      <c r="G206" s="14">
        <f>Table1[[#This Row],[FULL AMOUNT usd]]*20</f>
        <v>8403.2000000000007</v>
      </c>
      <c r="H206" s="8">
        <f t="shared" si="6"/>
        <v>84.032000000000011</v>
      </c>
      <c r="I206" s="10" t="s">
        <v>810</v>
      </c>
      <c r="J206" s="24" t="str">
        <f t="shared" si="7"/>
        <v>2024-07</v>
      </c>
    </row>
    <row r="207" spans="1:10" ht="14" x14ac:dyDescent="0.2">
      <c r="A207" s="10">
        <v>45505</v>
      </c>
      <c r="B207" s="10">
        <v>45509</v>
      </c>
      <c r="C207" s="7">
        <f>Table1[[#This Row],[Check-out Date]]-Table1[[#This Row],[Check-in Date]]</f>
        <v>4</v>
      </c>
      <c r="D207" s="7" t="s">
        <v>297</v>
      </c>
      <c r="E207" s="7" t="s">
        <v>900</v>
      </c>
      <c r="F207" s="14">
        <v>303.16000000000003</v>
      </c>
      <c r="G207" s="14">
        <f>Table1[[#This Row],[FULL AMOUNT usd]]*20</f>
        <v>6063.2000000000007</v>
      </c>
      <c r="H207" s="8">
        <f t="shared" si="6"/>
        <v>60.632000000000005</v>
      </c>
      <c r="I207" s="10" t="s">
        <v>785</v>
      </c>
      <c r="J207" s="24" t="str">
        <f t="shared" si="7"/>
        <v>2024-08</v>
      </c>
    </row>
    <row r="208" spans="1:10" ht="14" x14ac:dyDescent="0.2">
      <c r="A208" s="10">
        <v>45505</v>
      </c>
      <c r="B208" s="10">
        <v>45508</v>
      </c>
      <c r="C208" s="7">
        <f>Table1[[#This Row],[Check-out Date]]-Table1[[#This Row],[Check-in Date]]</f>
        <v>3</v>
      </c>
      <c r="D208" s="7" t="s">
        <v>296</v>
      </c>
      <c r="E208" s="7" t="s">
        <v>901</v>
      </c>
      <c r="F208" s="14">
        <v>352.77</v>
      </c>
      <c r="G208" s="14">
        <f>Table1[[#This Row],[FULL AMOUNT usd]]*20</f>
        <v>7055.4</v>
      </c>
      <c r="H208" s="8">
        <f t="shared" si="6"/>
        <v>70.554000000000002</v>
      </c>
      <c r="I208" s="10" t="s">
        <v>787</v>
      </c>
      <c r="J208" s="24" t="str">
        <f t="shared" si="7"/>
        <v>2024-08</v>
      </c>
    </row>
    <row r="209" spans="1:10" x14ac:dyDescent="0.15">
      <c r="A209" s="10">
        <v>45505</v>
      </c>
      <c r="B209" s="10">
        <v>45509</v>
      </c>
      <c r="C209" s="7">
        <f>Table1[[#This Row],[Check-out Date]]-Table1[[#This Row],[Check-in Date]]</f>
        <v>4</v>
      </c>
      <c r="D209" s="7" t="s">
        <v>297</v>
      </c>
      <c r="F209" s="14">
        <v>303.16000000000003</v>
      </c>
      <c r="G209" s="14">
        <f>Table1[[#This Row],[FULL AMOUNT usd]]*20</f>
        <v>6063.2000000000007</v>
      </c>
      <c r="H209" s="8">
        <f t="shared" si="6"/>
        <v>60.632000000000005</v>
      </c>
      <c r="I209" s="7" t="s">
        <v>918</v>
      </c>
      <c r="J209" s="2" t="str">
        <f t="shared" si="7"/>
        <v>2024-08</v>
      </c>
    </row>
    <row r="210" spans="1:10" ht="14" x14ac:dyDescent="0.2">
      <c r="A210" s="10">
        <v>45508</v>
      </c>
      <c r="B210" s="10">
        <v>45512</v>
      </c>
      <c r="C210" s="7">
        <f>Table1[[#This Row],[Check-out Date]]-Table1[[#This Row],[Check-in Date]]</f>
        <v>4</v>
      </c>
      <c r="D210" s="7" t="s">
        <v>297</v>
      </c>
      <c r="E210" s="7" t="s">
        <v>903</v>
      </c>
      <c r="F210" s="14">
        <v>420.16</v>
      </c>
      <c r="G210" s="14">
        <f>Table1[[#This Row],[FULL AMOUNT usd]]*20</f>
        <v>8403.2000000000007</v>
      </c>
      <c r="H210" s="8">
        <f t="shared" si="6"/>
        <v>84.032000000000011</v>
      </c>
      <c r="I210" s="10" t="s">
        <v>974</v>
      </c>
      <c r="J210" s="24" t="str">
        <f t="shared" si="7"/>
        <v>2024-08</v>
      </c>
    </row>
    <row r="211" spans="1:10" ht="14" x14ac:dyDescent="0.2">
      <c r="A211" s="10">
        <v>45508</v>
      </c>
      <c r="B211" s="10">
        <v>45515</v>
      </c>
      <c r="C211" s="7">
        <f>Table1[[#This Row],[Check-out Date]]-Table1[[#This Row],[Check-in Date]]</f>
        <v>7</v>
      </c>
      <c r="D211" s="7" t="s">
        <v>296</v>
      </c>
      <c r="E211" s="7" t="s">
        <v>902</v>
      </c>
      <c r="F211" s="14">
        <v>738.33</v>
      </c>
      <c r="G211" s="14">
        <f>Table1[[#This Row],[FULL AMOUNT usd]]*20</f>
        <v>14766.6</v>
      </c>
      <c r="H211" s="8">
        <f t="shared" si="6"/>
        <v>147.66600000000003</v>
      </c>
      <c r="I211" s="10" t="s">
        <v>810</v>
      </c>
      <c r="J211" s="24" t="str">
        <f t="shared" si="7"/>
        <v>2024-08</v>
      </c>
    </row>
    <row r="212" spans="1:10" x14ac:dyDescent="0.15">
      <c r="A212" s="10">
        <v>45508</v>
      </c>
      <c r="B212" s="10">
        <v>45512</v>
      </c>
      <c r="C212" s="7">
        <f>Table1[[#This Row],[Check-out Date]]-Table1[[#This Row],[Check-in Date]]</f>
        <v>4</v>
      </c>
      <c r="D212" s="7" t="s">
        <v>297</v>
      </c>
      <c r="F212" s="14">
        <v>420.16</v>
      </c>
      <c r="G212" s="14">
        <f>Table1[[#This Row],[FULL AMOUNT usd]]*20</f>
        <v>8403.2000000000007</v>
      </c>
      <c r="H212" s="8">
        <f t="shared" si="6"/>
        <v>84.032000000000011</v>
      </c>
      <c r="I212" s="7" t="s">
        <v>918</v>
      </c>
      <c r="J212" s="2" t="str">
        <f t="shared" si="7"/>
        <v>2024-08</v>
      </c>
    </row>
    <row r="213" spans="1:10" ht="14" x14ac:dyDescent="0.2">
      <c r="A213" s="10">
        <v>45519</v>
      </c>
      <c r="B213" s="10">
        <v>45523</v>
      </c>
      <c r="C213" s="7">
        <f>Table1[[#This Row],[Check-out Date]]-Table1[[#This Row],[Check-in Date]]</f>
        <v>4</v>
      </c>
      <c r="D213" s="7" t="s">
        <v>297</v>
      </c>
      <c r="E213" s="7" t="s">
        <v>906</v>
      </c>
      <c r="F213" s="14">
        <v>330.84</v>
      </c>
      <c r="G213" s="14">
        <f>Table1[[#This Row],[FULL AMOUNT usd]]*20</f>
        <v>6616.7999999999993</v>
      </c>
      <c r="H213" s="8">
        <f t="shared" si="6"/>
        <v>66.167999999999992</v>
      </c>
      <c r="I213" s="10" t="s">
        <v>810</v>
      </c>
      <c r="J213" s="24" t="str">
        <f t="shared" si="7"/>
        <v>2024-08</v>
      </c>
    </row>
    <row r="214" spans="1:10" x14ac:dyDescent="0.15">
      <c r="A214" s="10">
        <v>45519</v>
      </c>
      <c r="B214" s="10">
        <v>45523</v>
      </c>
      <c r="C214" s="7">
        <f>Table1[[#This Row],[Check-out Date]]-Table1[[#This Row],[Check-in Date]]</f>
        <v>4</v>
      </c>
      <c r="D214" s="7" t="s">
        <v>297</v>
      </c>
      <c r="F214" s="14">
        <v>330.84</v>
      </c>
      <c r="G214" s="14">
        <f>Table1[[#This Row],[FULL AMOUNT usd]]*20</f>
        <v>6616.7999999999993</v>
      </c>
      <c r="H214" s="8">
        <f t="shared" si="6"/>
        <v>66.167999999999992</v>
      </c>
      <c r="I214" s="7" t="s">
        <v>785</v>
      </c>
      <c r="J214" s="2" t="str">
        <f t="shared" si="7"/>
        <v>2024-08</v>
      </c>
    </row>
    <row r="215" spans="1:10" ht="14" x14ac:dyDescent="0.2">
      <c r="A215" s="10">
        <v>45535</v>
      </c>
      <c r="B215" s="10">
        <v>45537</v>
      </c>
      <c r="C215" s="7">
        <f>Table1[[#This Row],[Check-out Date]]-Table1[[#This Row],[Check-in Date]]</f>
        <v>2</v>
      </c>
      <c r="D215" s="7" t="s">
        <v>296</v>
      </c>
      <c r="E215" s="7" t="s">
        <v>907</v>
      </c>
      <c r="F215" s="14">
        <v>352.77</v>
      </c>
      <c r="G215" s="14">
        <f>Table1[[#This Row],[FULL AMOUNT usd]]*20</f>
        <v>7055.4</v>
      </c>
      <c r="H215" s="8">
        <f t="shared" si="6"/>
        <v>70.554000000000002</v>
      </c>
      <c r="I215" s="10" t="s">
        <v>810</v>
      </c>
      <c r="J215" s="24" t="str">
        <f t="shared" si="7"/>
        <v>2024-08</v>
      </c>
    </row>
    <row r="216" spans="1:10" ht="14" x14ac:dyDescent="0.2">
      <c r="A216" s="10">
        <v>45535</v>
      </c>
      <c r="B216" s="10">
        <v>45537</v>
      </c>
      <c r="C216" s="7">
        <f>Table1[[#This Row],[Check-out Date]]-Table1[[#This Row],[Check-in Date]]</f>
        <v>2</v>
      </c>
      <c r="D216" s="7" t="s">
        <v>295</v>
      </c>
      <c r="E216" s="7" t="s">
        <v>908</v>
      </c>
      <c r="F216" s="14">
        <v>352.77</v>
      </c>
      <c r="G216" s="14">
        <f>Table1[[#This Row],[FULL AMOUNT usd]]*20</f>
        <v>7055.4</v>
      </c>
      <c r="H216" s="8">
        <f t="shared" si="6"/>
        <v>70.554000000000002</v>
      </c>
      <c r="I216" s="10" t="s">
        <v>785</v>
      </c>
      <c r="J216" s="24" t="str">
        <f t="shared" si="7"/>
        <v>2024-08</v>
      </c>
    </row>
    <row r="217" spans="1:10" ht="14" x14ac:dyDescent="0.2">
      <c r="A217" s="10">
        <v>45535</v>
      </c>
      <c r="B217" s="10">
        <v>45537</v>
      </c>
      <c r="C217" s="7">
        <f>Table1[[#This Row],[Check-out Date]]-Table1[[#This Row],[Check-in Date]]</f>
        <v>2</v>
      </c>
      <c r="D217" s="7" t="s">
        <v>295</v>
      </c>
      <c r="E217" s="7" t="s">
        <v>909</v>
      </c>
      <c r="F217" s="14">
        <v>247.66</v>
      </c>
      <c r="G217" s="14">
        <f>Table1[[#This Row],[FULL AMOUNT usd]]*20</f>
        <v>4953.2</v>
      </c>
      <c r="H217" s="8">
        <f t="shared" si="6"/>
        <v>49.532000000000004</v>
      </c>
      <c r="I217" s="10" t="s">
        <v>785</v>
      </c>
      <c r="J217" s="24" t="str">
        <f t="shared" si="7"/>
        <v>2024-08</v>
      </c>
    </row>
    <row r="218" spans="1:10" ht="14" x14ac:dyDescent="0.2">
      <c r="A218" s="10">
        <v>45547</v>
      </c>
      <c r="B218" s="10">
        <v>45551</v>
      </c>
      <c r="C218" s="7">
        <f>Table1[[#This Row],[Check-out Date]]-Table1[[#This Row],[Check-in Date]]</f>
        <v>4</v>
      </c>
      <c r="D218" s="7" t="s">
        <v>295</v>
      </c>
      <c r="E218" s="7" t="s">
        <v>910</v>
      </c>
      <c r="F218" s="14">
        <v>533</v>
      </c>
      <c r="G218" s="14">
        <f>Table1[[#This Row],[FULL AMOUNT usd]]*20</f>
        <v>10660</v>
      </c>
      <c r="H218" s="8">
        <f t="shared" si="6"/>
        <v>106.60000000000001</v>
      </c>
      <c r="I218" s="10" t="s">
        <v>974</v>
      </c>
      <c r="J218" s="24" t="str">
        <f t="shared" si="7"/>
        <v>2024-09</v>
      </c>
    </row>
    <row r="219" spans="1:10" ht="14" x14ac:dyDescent="0.2">
      <c r="A219" s="10">
        <v>45569</v>
      </c>
      <c r="B219" s="10">
        <v>45573</v>
      </c>
      <c r="C219" s="7">
        <f>Table1[[#This Row],[Check-out Date]]-Table1[[#This Row],[Check-in Date]]</f>
        <v>4</v>
      </c>
      <c r="D219" s="7" t="s">
        <v>295</v>
      </c>
      <c r="E219" s="7" t="s">
        <v>911</v>
      </c>
      <c r="F219" s="14">
        <v>500</v>
      </c>
      <c r="G219" s="14">
        <f>Table1[[#This Row],[FULL AMOUNT usd]]*20</f>
        <v>10000</v>
      </c>
      <c r="H219" s="8">
        <f t="shared" si="6"/>
        <v>100</v>
      </c>
      <c r="I219" s="10" t="s">
        <v>785</v>
      </c>
      <c r="J219" s="24" t="str">
        <f t="shared" si="7"/>
        <v>2024-10</v>
      </c>
    </row>
    <row r="220" spans="1:10" ht="14" x14ac:dyDescent="0.2">
      <c r="A220" s="10">
        <v>45572</v>
      </c>
      <c r="B220" s="10">
        <v>45577</v>
      </c>
      <c r="C220" s="7">
        <f>Table1[[#This Row],[Check-out Date]]-Table1[[#This Row],[Check-in Date]]</f>
        <v>5</v>
      </c>
      <c r="D220" s="7" t="s">
        <v>297</v>
      </c>
      <c r="E220" s="7" t="s">
        <v>912</v>
      </c>
      <c r="F220" s="14">
        <v>310</v>
      </c>
      <c r="G220" s="14">
        <f>Table1[[#This Row],[FULL AMOUNT usd]]*20</f>
        <v>6200</v>
      </c>
      <c r="H220" s="8">
        <f t="shared" si="6"/>
        <v>62</v>
      </c>
      <c r="I220" s="10" t="s">
        <v>785</v>
      </c>
      <c r="J220" s="24" t="str">
        <f t="shared" si="7"/>
        <v>2024-10</v>
      </c>
    </row>
    <row r="221" spans="1:10" x14ac:dyDescent="0.15">
      <c r="A221" s="10">
        <v>45572</v>
      </c>
      <c r="B221" s="10">
        <v>45577</v>
      </c>
      <c r="C221" s="7">
        <f>Table1[[#This Row],[Check-out Date]]-Table1[[#This Row],[Check-in Date]]</f>
        <v>5</v>
      </c>
      <c r="D221" s="7" t="s">
        <v>297</v>
      </c>
      <c r="F221" s="14">
        <v>310</v>
      </c>
      <c r="G221" s="14">
        <f>Table1[[#This Row],[FULL AMOUNT usd]]*20</f>
        <v>6200</v>
      </c>
      <c r="H221" s="8">
        <f t="shared" si="6"/>
        <v>62</v>
      </c>
      <c r="I221" s="7" t="s">
        <v>785</v>
      </c>
      <c r="J221" s="2" t="str">
        <f t="shared" si="7"/>
        <v>2024-10</v>
      </c>
    </row>
    <row r="222" spans="1:10" ht="14" x14ac:dyDescent="0.2">
      <c r="A222" s="10">
        <v>45589</v>
      </c>
      <c r="B222" s="10">
        <v>45591</v>
      </c>
      <c r="C222" s="7">
        <f>Table1[[#This Row],[Check-out Date]]-Table1[[#This Row],[Check-in Date]]</f>
        <v>2</v>
      </c>
      <c r="D222" s="7" t="s">
        <v>295</v>
      </c>
      <c r="E222" s="7" t="s">
        <v>913</v>
      </c>
      <c r="F222" s="14">
        <v>352.83</v>
      </c>
      <c r="G222" s="14">
        <f>Table1[[#This Row],[FULL AMOUNT usd]]*20</f>
        <v>7056.5999999999995</v>
      </c>
      <c r="H222" s="8">
        <f t="shared" si="6"/>
        <v>70.566000000000003</v>
      </c>
      <c r="I222" s="10" t="s">
        <v>974</v>
      </c>
      <c r="J222" s="24" t="str">
        <f t="shared" si="7"/>
        <v>2024-10</v>
      </c>
    </row>
    <row r="223" spans="1:10" ht="14" x14ac:dyDescent="0.2">
      <c r="A223" s="10">
        <v>45601</v>
      </c>
      <c r="B223" s="10">
        <v>45604</v>
      </c>
      <c r="C223" s="7">
        <f>Table1[[#This Row],[Check-out Date]]-Table1[[#This Row],[Check-in Date]]</f>
        <v>3</v>
      </c>
      <c r="D223" s="7" t="s">
        <v>296</v>
      </c>
      <c r="E223" s="7" t="s">
        <v>914</v>
      </c>
      <c r="F223" s="14">
        <v>451.47</v>
      </c>
      <c r="G223" s="14">
        <f>Table1[[#This Row],[FULL AMOUNT usd]]*20</f>
        <v>9029.4000000000015</v>
      </c>
      <c r="H223" s="8">
        <f t="shared" si="6"/>
        <v>90.294000000000011</v>
      </c>
      <c r="I223" s="10" t="s">
        <v>810</v>
      </c>
      <c r="J223" s="24" t="str">
        <f t="shared" si="7"/>
        <v>2024-11</v>
      </c>
    </row>
    <row r="224" spans="1:10" ht="14" x14ac:dyDescent="0.2">
      <c r="A224" s="10">
        <v>45611</v>
      </c>
      <c r="B224" s="10">
        <v>45614</v>
      </c>
      <c r="C224" s="7">
        <f>Table1[[#This Row],[Check-out Date]]-Table1[[#This Row],[Check-in Date]]</f>
        <v>3</v>
      </c>
      <c r="D224" s="7" t="s">
        <v>295</v>
      </c>
      <c r="E224" s="7" t="s">
        <v>920</v>
      </c>
      <c r="F224" s="14">
        <v>571</v>
      </c>
      <c r="G224" s="14">
        <f>Table1[[#This Row],[FULL AMOUNT usd]]*20</f>
        <v>11420</v>
      </c>
      <c r="H224" s="8">
        <f t="shared" si="6"/>
        <v>114.2</v>
      </c>
      <c r="I224" s="10" t="s">
        <v>785</v>
      </c>
      <c r="J224" s="24" t="str">
        <f t="shared" si="7"/>
        <v>2024-11</v>
      </c>
    </row>
    <row r="225" spans="1:10" ht="14" x14ac:dyDescent="0.2">
      <c r="A225" s="10">
        <v>45626</v>
      </c>
      <c r="B225" s="10">
        <v>45629</v>
      </c>
      <c r="C225" s="7">
        <f>Table1[[#This Row],[Check-out Date]]-Table1[[#This Row],[Check-in Date]]</f>
        <v>3</v>
      </c>
      <c r="D225" s="7" t="s">
        <v>295</v>
      </c>
      <c r="E225" s="7" t="s">
        <v>915</v>
      </c>
      <c r="F225" s="14">
        <v>510</v>
      </c>
      <c r="G225" s="14">
        <f>Table1[[#This Row],[FULL AMOUNT usd]]*20</f>
        <v>10200</v>
      </c>
      <c r="H225" s="8">
        <f t="shared" si="6"/>
        <v>102</v>
      </c>
      <c r="I225" s="10" t="s">
        <v>810</v>
      </c>
      <c r="J225" s="24" t="str">
        <f t="shared" si="7"/>
        <v>2024-11</v>
      </c>
    </row>
    <row r="226" spans="1:10" ht="14" x14ac:dyDescent="0.2">
      <c r="A226" s="10">
        <v>45629</v>
      </c>
      <c r="B226" s="10">
        <v>45648</v>
      </c>
      <c r="C226" s="7">
        <f>Table1[[#This Row],[Check-out Date]]-Table1[[#This Row],[Check-in Date]]</f>
        <v>19</v>
      </c>
      <c r="D226" s="7" t="s">
        <v>296</v>
      </c>
      <c r="E226" s="7" t="s">
        <v>916</v>
      </c>
      <c r="F226" s="14">
        <v>2981.43</v>
      </c>
      <c r="G226" s="14">
        <f>Table1[[#This Row],[FULL AMOUNT usd]]*20</f>
        <v>59628.6</v>
      </c>
      <c r="H226" s="8">
        <f t="shared" si="6"/>
        <v>596.28599999999994</v>
      </c>
      <c r="I226" s="10" t="s">
        <v>810</v>
      </c>
      <c r="J226" s="24" t="str">
        <f t="shared" si="7"/>
        <v>2024-12</v>
      </c>
    </row>
    <row r="227" spans="1:10" ht="14" x14ac:dyDescent="0.2">
      <c r="A227" s="10">
        <v>45650</v>
      </c>
      <c r="B227" s="10">
        <v>45653</v>
      </c>
      <c r="C227" s="7">
        <f>Table1[[#This Row],[Check-out Date]]-Table1[[#This Row],[Check-in Date]]</f>
        <v>3</v>
      </c>
      <c r="D227" s="7" t="s">
        <v>295</v>
      </c>
      <c r="E227" s="7" t="s">
        <v>919</v>
      </c>
      <c r="F227" s="14">
        <v>367.73</v>
      </c>
      <c r="G227" s="14">
        <f>Table1[[#This Row],[FULL AMOUNT usd]]*20</f>
        <v>7354.6</v>
      </c>
      <c r="H227" s="8">
        <f t="shared" si="6"/>
        <v>73.546000000000006</v>
      </c>
      <c r="I227" s="10" t="s">
        <v>974</v>
      </c>
      <c r="J227" s="24" t="str">
        <f t="shared" si="7"/>
        <v>2024-12</v>
      </c>
    </row>
    <row r="228" spans="1:10" ht="14" x14ac:dyDescent="0.2">
      <c r="A228" s="10">
        <v>45650</v>
      </c>
      <c r="B228" s="10">
        <v>45653</v>
      </c>
      <c r="C228" s="7">
        <f>Table1[[#This Row],[Check-out Date]]-Table1[[#This Row],[Check-in Date]]</f>
        <v>3</v>
      </c>
      <c r="D228" s="7" t="s">
        <v>295</v>
      </c>
      <c r="E228" s="7" t="s">
        <v>923</v>
      </c>
      <c r="F228" s="14">
        <v>562.57000000000005</v>
      </c>
      <c r="G228" s="14">
        <f>Table1[[#This Row],[FULL AMOUNT usd]]*20</f>
        <v>11251.400000000001</v>
      </c>
      <c r="H228" s="8">
        <f t="shared" si="6"/>
        <v>112.51400000000001</v>
      </c>
      <c r="I228" s="10" t="s">
        <v>785</v>
      </c>
      <c r="J228" s="24" t="str">
        <f t="shared" si="7"/>
        <v>2024-12</v>
      </c>
    </row>
    <row r="229" spans="1:10" ht="14" x14ac:dyDescent="0.2">
      <c r="A229" s="10">
        <v>45652</v>
      </c>
      <c r="B229" s="10">
        <v>45656</v>
      </c>
      <c r="C229" s="7">
        <f>Table1[[#This Row],[Check-out Date]]-Table1[[#This Row],[Check-in Date]]</f>
        <v>4</v>
      </c>
      <c r="D229" s="7" t="s">
        <v>295</v>
      </c>
      <c r="E229" s="7" t="s">
        <v>921</v>
      </c>
      <c r="F229" s="14">
        <v>1203.4000000000001</v>
      </c>
      <c r="G229" s="14">
        <f>Table1[[#This Row],[FULL AMOUNT usd]]*20</f>
        <v>24068</v>
      </c>
      <c r="H229" s="8">
        <f t="shared" si="6"/>
        <v>240.68000000000004</v>
      </c>
      <c r="I229" s="10" t="s">
        <v>785</v>
      </c>
      <c r="J229" s="24" t="str">
        <f t="shared" si="7"/>
        <v>2024-12</v>
      </c>
    </row>
    <row r="230" spans="1:10" ht="14" x14ac:dyDescent="0.2">
      <c r="A230" s="10">
        <v>45654</v>
      </c>
      <c r="B230" s="10">
        <v>45658</v>
      </c>
      <c r="C230" s="7">
        <f>Table1[[#This Row],[Check-out Date]]-Table1[[#This Row],[Check-in Date]]</f>
        <v>4</v>
      </c>
      <c r="D230" s="7" t="s">
        <v>295</v>
      </c>
      <c r="E230" s="7" t="s">
        <v>911</v>
      </c>
      <c r="F230" s="14">
        <v>720</v>
      </c>
      <c r="G230" s="14">
        <f>Table1[[#This Row],[FULL AMOUNT usd]]*20</f>
        <v>14400</v>
      </c>
      <c r="H230" s="8">
        <f t="shared" si="6"/>
        <v>144</v>
      </c>
      <c r="I230" s="10" t="s">
        <v>810</v>
      </c>
      <c r="J230" s="24" t="str">
        <f t="shared" si="7"/>
        <v>2024-12</v>
      </c>
    </row>
    <row r="231" spans="1:10" ht="14" x14ac:dyDescent="0.2">
      <c r="A231" s="10">
        <v>45657</v>
      </c>
      <c r="B231" s="10">
        <v>45662</v>
      </c>
      <c r="C231" s="7">
        <f>Table1[[#This Row],[Check-out Date]]-Table1[[#This Row],[Check-in Date]]</f>
        <v>5</v>
      </c>
      <c r="D231" s="7" t="s">
        <v>296</v>
      </c>
      <c r="E231" s="7" t="s">
        <v>917</v>
      </c>
      <c r="F231" s="14">
        <v>1104</v>
      </c>
      <c r="G231" s="14">
        <f>Table1[[#This Row],[FULL AMOUNT usd]]*20</f>
        <v>22080</v>
      </c>
      <c r="H231" s="8">
        <f t="shared" si="6"/>
        <v>220.8</v>
      </c>
      <c r="I231" s="10" t="s">
        <v>810</v>
      </c>
      <c r="J231" s="24" t="str">
        <f t="shared" si="7"/>
        <v>2024-12</v>
      </c>
    </row>
    <row r="232" spans="1:10" ht="14" x14ac:dyDescent="0.2">
      <c r="A232" s="10">
        <v>45657</v>
      </c>
      <c r="B232" s="10">
        <v>45661</v>
      </c>
      <c r="C232" s="7">
        <f>Table1[[#This Row],[Check-out Date]]-Table1[[#This Row],[Check-in Date]]</f>
        <v>4</v>
      </c>
      <c r="D232" s="7" t="s">
        <v>295</v>
      </c>
      <c r="E232" s="7" t="s">
        <v>922</v>
      </c>
      <c r="F232" s="14">
        <v>856.48</v>
      </c>
      <c r="G232" s="14">
        <f>Table1[[#This Row],[FULL AMOUNT usd]]*20</f>
        <v>17129.599999999999</v>
      </c>
      <c r="H232" s="8">
        <f t="shared" si="6"/>
        <v>171.29600000000002</v>
      </c>
      <c r="I232" s="10" t="s">
        <v>918</v>
      </c>
      <c r="J232" s="24" t="str">
        <f t="shared" si="7"/>
        <v>2024-12</v>
      </c>
    </row>
    <row r="233" spans="1:10" ht="14" x14ac:dyDescent="0.2">
      <c r="A233" s="10">
        <v>45659</v>
      </c>
      <c r="B233" s="10">
        <v>45662</v>
      </c>
      <c r="C233" s="7">
        <f>Table1[[#This Row],[Check-out Date]]-Table1[[#This Row],[Check-in Date]]</f>
        <v>3</v>
      </c>
      <c r="D233" s="7" t="s">
        <v>295</v>
      </c>
      <c r="E233" s="7" t="s">
        <v>924</v>
      </c>
      <c r="F233" s="14">
        <v>582.54999999999995</v>
      </c>
      <c r="G233" s="14">
        <f>Table1[[#This Row],[FULL AMOUNT usd]]*20</f>
        <v>11651</v>
      </c>
      <c r="H233" s="8">
        <f t="shared" si="6"/>
        <v>116.50999999999999</v>
      </c>
      <c r="I233" s="10" t="s">
        <v>918</v>
      </c>
      <c r="J233" s="24" t="str">
        <f t="shared" si="7"/>
        <v>2025-01</v>
      </c>
    </row>
    <row r="234" spans="1:10" ht="14" x14ac:dyDescent="0.2">
      <c r="A234" s="10">
        <v>45660</v>
      </c>
      <c r="B234" s="10">
        <v>45663</v>
      </c>
      <c r="C234" s="7">
        <f>Table1[[#This Row],[Check-out Date]]-Table1[[#This Row],[Check-in Date]]</f>
        <v>3</v>
      </c>
      <c r="D234" s="7" t="s">
        <v>297</v>
      </c>
      <c r="E234" s="7" t="s">
        <v>926</v>
      </c>
      <c r="F234" s="14">
        <v>657.51</v>
      </c>
      <c r="G234" s="14">
        <f>Table1[[#This Row],[FULL AMOUNT usd]]*20</f>
        <v>13150.2</v>
      </c>
      <c r="H234" s="8">
        <f t="shared" si="6"/>
        <v>131.50200000000001</v>
      </c>
      <c r="I234" s="10" t="s">
        <v>810</v>
      </c>
      <c r="J234" s="24" t="str">
        <f t="shared" si="7"/>
        <v>2025-01</v>
      </c>
    </row>
    <row r="235" spans="1:10" x14ac:dyDescent="0.15">
      <c r="A235" s="10">
        <v>45660</v>
      </c>
      <c r="B235" s="10">
        <v>45663</v>
      </c>
      <c r="C235" s="7">
        <f>Table1[[#This Row],[Check-out Date]]-Table1[[#This Row],[Check-in Date]]</f>
        <v>3</v>
      </c>
      <c r="D235" s="7" t="s">
        <v>297</v>
      </c>
      <c r="F235" s="14">
        <v>657.51</v>
      </c>
      <c r="G235" s="14">
        <f>Table1[[#This Row],[FULL AMOUNT usd]]*20</f>
        <v>13150.2</v>
      </c>
      <c r="H235" s="8">
        <f t="shared" si="6"/>
        <v>131.50200000000001</v>
      </c>
      <c r="I235" s="7" t="s">
        <v>785</v>
      </c>
      <c r="J235" s="2" t="str">
        <f t="shared" si="7"/>
        <v>2025-01</v>
      </c>
    </row>
    <row r="236" spans="1:10" ht="14" x14ac:dyDescent="0.2">
      <c r="A236" s="10">
        <v>45661</v>
      </c>
      <c r="B236" s="10">
        <v>45664</v>
      </c>
      <c r="C236" s="7">
        <f>Table1[[#This Row],[Check-out Date]]-Table1[[#This Row],[Check-in Date]]</f>
        <v>3</v>
      </c>
      <c r="D236" s="7" t="s">
        <v>295</v>
      </c>
      <c r="E236" s="7" t="s">
        <v>925</v>
      </c>
      <c r="F236" s="14">
        <v>828</v>
      </c>
      <c r="G236" s="14">
        <f>Table1[[#This Row],[FULL AMOUNT usd]]*20</f>
        <v>16560</v>
      </c>
      <c r="H236" s="8">
        <f t="shared" si="6"/>
        <v>165.60000000000002</v>
      </c>
      <c r="I236" s="10" t="s">
        <v>810</v>
      </c>
      <c r="J236" s="24" t="str">
        <f t="shared" si="7"/>
        <v>2025-01</v>
      </c>
    </row>
    <row r="237" spans="1:10" ht="14" x14ac:dyDescent="0.2">
      <c r="A237" s="10">
        <v>45662</v>
      </c>
      <c r="B237" s="10">
        <v>45665</v>
      </c>
      <c r="C237" s="7">
        <f>Table1[[#This Row],[Check-out Date]]-Table1[[#This Row],[Check-in Date]]</f>
        <v>3</v>
      </c>
      <c r="D237" s="7" t="s">
        <v>297</v>
      </c>
      <c r="E237" s="7" t="s">
        <v>934</v>
      </c>
      <c r="F237" s="14">
        <v>460</v>
      </c>
      <c r="G237" s="14">
        <f>Table1[[#This Row],[FULL AMOUNT usd]]*20</f>
        <v>9200</v>
      </c>
      <c r="H237" s="8">
        <f t="shared" si="6"/>
        <v>92</v>
      </c>
      <c r="I237" s="10" t="s">
        <v>785</v>
      </c>
      <c r="J237" s="24" t="str">
        <f t="shared" si="7"/>
        <v>2025-01</v>
      </c>
    </row>
    <row r="238" spans="1:10" ht="14" x14ac:dyDescent="0.2">
      <c r="A238" s="10">
        <v>45662</v>
      </c>
      <c r="B238" s="10">
        <v>45666</v>
      </c>
      <c r="C238" s="7">
        <f>Table1[[#This Row],[Check-out Date]]-Table1[[#This Row],[Check-in Date]]</f>
        <v>4</v>
      </c>
      <c r="D238" s="7" t="s">
        <v>295</v>
      </c>
      <c r="E238" s="7" t="s">
        <v>927</v>
      </c>
      <c r="F238" s="14">
        <v>450.46</v>
      </c>
      <c r="G238" s="14">
        <f>Table1[[#This Row],[FULL AMOUNT usd]]*20</f>
        <v>9009.1999999999989</v>
      </c>
      <c r="H238" s="8">
        <f t="shared" si="6"/>
        <v>90.091999999999999</v>
      </c>
      <c r="I238" s="10" t="s">
        <v>918</v>
      </c>
      <c r="J238" s="24" t="str">
        <f t="shared" si="7"/>
        <v>2025-01</v>
      </c>
    </row>
    <row r="239" spans="1:10" x14ac:dyDescent="0.15">
      <c r="A239" s="10">
        <v>45662</v>
      </c>
      <c r="B239" s="10">
        <v>45665</v>
      </c>
      <c r="C239" s="7">
        <f>Table1[[#This Row],[Check-out Date]]-Table1[[#This Row],[Check-in Date]]</f>
        <v>3</v>
      </c>
      <c r="D239" s="7" t="s">
        <v>297</v>
      </c>
      <c r="F239" s="14">
        <v>460</v>
      </c>
      <c r="G239" s="14">
        <f>Table1[[#This Row],[FULL AMOUNT usd]]*20</f>
        <v>9200</v>
      </c>
      <c r="H239" s="8">
        <f t="shared" si="6"/>
        <v>92</v>
      </c>
      <c r="I239" s="7" t="s">
        <v>785</v>
      </c>
      <c r="J239" s="2" t="str">
        <f t="shared" si="7"/>
        <v>2025-01</v>
      </c>
    </row>
    <row r="240" spans="1:10" ht="14" x14ac:dyDescent="0.2">
      <c r="A240" s="10">
        <v>45664</v>
      </c>
      <c r="B240" s="10">
        <v>45670</v>
      </c>
      <c r="C240" s="7">
        <f>Table1[[#This Row],[Check-out Date]]-Table1[[#This Row],[Check-in Date]]</f>
        <v>6</v>
      </c>
      <c r="D240" s="7" t="s">
        <v>297</v>
      </c>
      <c r="E240" s="7" t="s">
        <v>931</v>
      </c>
      <c r="F240" s="14">
        <v>1093</v>
      </c>
      <c r="G240" s="14">
        <f>Table1[[#This Row],[FULL AMOUNT usd]]*20</f>
        <v>21860</v>
      </c>
      <c r="H240" s="8">
        <f t="shared" si="6"/>
        <v>218.60000000000002</v>
      </c>
      <c r="I240" s="10" t="s">
        <v>810</v>
      </c>
      <c r="J240" s="24" t="str">
        <f t="shared" si="7"/>
        <v>2025-01</v>
      </c>
    </row>
    <row r="241" spans="1:10" ht="14" x14ac:dyDescent="0.2">
      <c r="A241" s="10">
        <v>45664</v>
      </c>
      <c r="B241" s="10">
        <v>45669</v>
      </c>
      <c r="C241" s="7">
        <f>Table1[[#This Row],[Check-out Date]]-Table1[[#This Row],[Check-in Date]]</f>
        <v>5</v>
      </c>
      <c r="D241" s="7" t="s">
        <v>296</v>
      </c>
      <c r="E241" s="7" t="s">
        <v>929</v>
      </c>
      <c r="F241" s="14">
        <v>690.6</v>
      </c>
      <c r="G241" s="14">
        <f>Table1[[#This Row],[FULL AMOUNT usd]]*20</f>
        <v>13812</v>
      </c>
      <c r="H241" s="8">
        <f t="shared" si="6"/>
        <v>138.12</v>
      </c>
      <c r="I241" s="10" t="s">
        <v>785</v>
      </c>
      <c r="J241" s="24" t="str">
        <f t="shared" si="7"/>
        <v>2025-01</v>
      </c>
    </row>
    <row r="242" spans="1:10" x14ac:dyDescent="0.15">
      <c r="A242" s="10">
        <v>45664</v>
      </c>
      <c r="B242" s="10">
        <v>45670</v>
      </c>
      <c r="C242" s="7">
        <f>Table1[[#This Row],[Check-out Date]]-Table1[[#This Row],[Check-in Date]]</f>
        <v>6</v>
      </c>
      <c r="D242" s="7" t="s">
        <v>297</v>
      </c>
      <c r="F242" s="14">
        <v>1093</v>
      </c>
      <c r="G242" s="14">
        <f>Table1[[#This Row],[FULL AMOUNT usd]]*20</f>
        <v>21860</v>
      </c>
      <c r="H242" s="8">
        <f t="shared" si="6"/>
        <v>218.60000000000002</v>
      </c>
      <c r="I242" s="7" t="s">
        <v>785</v>
      </c>
      <c r="J242" s="2" t="str">
        <f t="shared" si="7"/>
        <v>2025-01</v>
      </c>
    </row>
    <row r="243" spans="1:10" ht="14" x14ac:dyDescent="0.2">
      <c r="A243" s="10">
        <v>45666</v>
      </c>
      <c r="B243" s="10">
        <v>45671</v>
      </c>
      <c r="C243" s="7">
        <f>Table1[[#This Row],[Check-out Date]]-Table1[[#This Row],[Check-in Date]]</f>
        <v>5</v>
      </c>
      <c r="D243" s="7" t="s">
        <v>295</v>
      </c>
      <c r="E243" s="7" t="s">
        <v>928</v>
      </c>
      <c r="F243" s="14">
        <v>550.45000000000005</v>
      </c>
      <c r="G243" s="14">
        <f>Table1[[#This Row],[FULL AMOUNT usd]]*20</f>
        <v>11009</v>
      </c>
      <c r="H243" s="8">
        <f t="shared" si="6"/>
        <v>110.09000000000002</v>
      </c>
      <c r="I243" s="10" t="s">
        <v>785</v>
      </c>
      <c r="J243" s="24" t="str">
        <f t="shared" si="7"/>
        <v>2025-01</v>
      </c>
    </row>
    <row r="244" spans="1:10" ht="14" x14ac:dyDescent="0.2">
      <c r="A244" s="10">
        <v>45666</v>
      </c>
      <c r="B244" s="10">
        <v>45670</v>
      </c>
      <c r="C244" s="7">
        <f>Table1[[#This Row],[Check-out Date]]-Table1[[#This Row],[Check-in Date]]</f>
        <v>4</v>
      </c>
      <c r="D244" s="7" t="s">
        <v>295</v>
      </c>
      <c r="E244" s="7" t="s">
        <v>930</v>
      </c>
      <c r="F244" s="14">
        <v>614.08000000000004</v>
      </c>
      <c r="G244" s="14">
        <f>Table1[[#This Row],[FULL AMOUNT usd]]*20</f>
        <v>12281.6</v>
      </c>
      <c r="H244" s="8">
        <f t="shared" si="6"/>
        <v>122.81600000000002</v>
      </c>
      <c r="I244" s="10" t="s">
        <v>974</v>
      </c>
      <c r="J244" s="24" t="str">
        <f t="shared" si="7"/>
        <v>2025-01</v>
      </c>
    </row>
    <row r="245" spans="1:10" ht="14" x14ac:dyDescent="0.2">
      <c r="A245" s="10">
        <v>45679</v>
      </c>
      <c r="B245" s="10">
        <v>45682</v>
      </c>
      <c r="C245" s="7">
        <f>Table1[[#This Row],[Check-out Date]]-Table1[[#This Row],[Check-in Date]]</f>
        <v>3</v>
      </c>
      <c r="D245" s="7" t="s">
        <v>295</v>
      </c>
      <c r="E245" s="7" t="s">
        <v>932</v>
      </c>
      <c r="F245" s="14">
        <v>642</v>
      </c>
      <c r="G245" s="14">
        <f>Table1[[#This Row],[FULL AMOUNT usd]]*20</f>
        <v>12840</v>
      </c>
      <c r="H245" s="8">
        <f t="shared" si="6"/>
        <v>128.4</v>
      </c>
      <c r="I245" s="10" t="s">
        <v>785</v>
      </c>
      <c r="J245" s="24" t="str">
        <f t="shared" si="7"/>
        <v>2025-01</v>
      </c>
    </row>
    <row r="246" spans="1:10" ht="14" x14ac:dyDescent="0.2">
      <c r="A246" s="10">
        <v>45687</v>
      </c>
      <c r="B246" s="10">
        <v>45691</v>
      </c>
      <c r="C246" s="7">
        <f>Table1[[#This Row],[Check-out Date]]-Table1[[#This Row],[Check-in Date]]</f>
        <v>4</v>
      </c>
      <c r="D246" s="7" t="s">
        <v>297</v>
      </c>
      <c r="E246" s="7" t="s">
        <v>933</v>
      </c>
      <c r="F246" s="14">
        <v>460</v>
      </c>
      <c r="G246" s="14">
        <f>Table1[[#This Row],[FULL AMOUNT usd]]*20</f>
        <v>9200</v>
      </c>
      <c r="H246" s="8">
        <f t="shared" si="6"/>
        <v>92</v>
      </c>
      <c r="I246" s="10" t="s">
        <v>785</v>
      </c>
      <c r="J246" s="24" t="str">
        <f t="shared" si="7"/>
        <v>2025-01</v>
      </c>
    </row>
    <row r="247" spans="1:10" x14ac:dyDescent="0.15">
      <c r="A247" s="10">
        <v>45687</v>
      </c>
      <c r="B247" s="10">
        <v>45691</v>
      </c>
      <c r="C247" s="7">
        <f>Table1[[#This Row],[Check-out Date]]-Table1[[#This Row],[Check-in Date]]</f>
        <v>4</v>
      </c>
      <c r="D247" s="7" t="s">
        <v>297</v>
      </c>
      <c r="F247" s="14">
        <v>460</v>
      </c>
      <c r="G247" s="14">
        <f>Table1[[#This Row],[FULL AMOUNT usd]]*20</f>
        <v>9200</v>
      </c>
      <c r="H247" s="8">
        <f t="shared" si="6"/>
        <v>92</v>
      </c>
      <c r="I247" s="7" t="s">
        <v>785</v>
      </c>
      <c r="J247" s="2" t="str">
        <f t="shared" si="7"/>
        <v>2025-01</v>
      </c>
    </row>
    <row r="248" spans="1:10" ht="14" x14ac:dyDescent="0.2">
      <c r="A248" s="10">
        <v>45705</v>
      </c>
      <c r="B248" s="10">
        <v>45709</v>
      </c>
      <c r="C248" s="7">
        <f>Table1[[#This Row],[Check-out Date]]-Table1[[#This Row],[Check-in Date]]</f>
        <v>4</v>
      </c>
      <c r="D248" s="7" t="s">
        <v>296</v>
      </c>
      <c r="E248" s="7" t="s">
        <v>935</v>
      </c>
      <c r="F248" s="14">
        <v>489.6</v>
      </c>
      <c r="G248" s="14">
        <f>Table1[[#This Row],[FULL AMOUNT usd]]*20</f>
        <v>9792</v>
      </c>
      <c r="H248" s="8">
        <f t="shared" si="6"/>
        <v>97.920000000000016</v>
      </c>
      <c r="I248" s="10" t="s">
        <v>785</v>
      </c>
      <c r="J248" s="24" t="str">
        <f t="shared" si="7"/>
        <v>2025-02</v>
      </c>
    </row>
    <row r="249" spans="1:10" ht="14" x14ac:dyDescent="0.2">
      <c r="A249" s="10">
        <v>45714</v>
      </c>
      <c r="B249" s="10">
        <v>45719</v>
      </c>
      <c r="C249" s="7">
        <f>Table1[[#This Row],[Check-out Date]]-Table1[[#This Row],[Check-in Date]]</f>
        <v>5</v>
      </c>
      <c r="D249" s="7" t="s">
        <v>295</v>
      </c>
      <c r="E249" s="7" t="s">
        <v>937</v>
      </c>
      <c r="F249" s="14">
        <v>560.54999999999995</v>
      </c>
      <c r="G249" s="14">
        <f>Table1[[#This Row],[FULL AMOUNT usd]]*20</f>
        <v>11211</v>
      </c>
      <c r="H249" s="8">
        <f t="shared" si="6"/>
        <v>112.11</v>
      </c>
      <c r="I249" s="10" t="s">
        <v>810</v>
      </c>
      <c r="J249" s="24" t="str">
        <f t="shared" si="7"/>
        <v>2025-02</v>
      </c>
    </row>
    <row r="250" spans="1:10" ht="14" x14ac:dyDescent="0.2">
      <c r="A250" s="10">
        <v>45715</v>
      </c>
      <c r="B250" s="10">
        <v>45720</v>
      </c>
      <c r="C250" s="7">
        <f>Table1[[#This Row],[Check-out Date]]-Table1[[#This Row],[Check-in Date]]</f>
        <v>5</v>
      </c>
      <c r="D250" s="7" t="s">
        <v>297</v>
      </c>
      <c r="E250" s="7" t="s">
        <v>936</v>
      </c>
      <c r="F250" s="14">
        <v>596.15</v>
      </c>
      <c r="G250" s="14">
        <f>Table1[[#This Row],[FULL AMOUNT usd]]*20</f>
        <v>11923</v>
      </c>
      <c r="H250" s="8">
        <f t="shared" si="6"/>
        <v>119.23</v>
      </c>
      <c r="I250" s="10" t="s">
        <v>810</v>
      </c>
      <c r="J250" s="24" t="str">
        <f t="shared" si="7"/>
        <v>2025-02</v>
      </c>
    </row>
    <row r="251" spans="1:10" x14ac:dyDescent="0.15">
      <c r="A251" s="10">
        <v>45715</v>
      </c>
      <c r="B251" s="10">
        <v>45720</v>
      </c>
      <c r="C251" s="7">
        <f>Table1[[#This Row],[Check-out Date]]-Table1[[#This Row],[Check-in Date]]</f>
        <v>5</v>
      </c>
      <c r="D251" s="7" t="s">
        <v>297</v>
      </c>
      <c r="F251" s="14">
        <v>596.15</v>
      </c>
      <c r="G251" s="14">
        <f>Table1[[#This Row],[FULL AMOUNT usd]]*20</f>
        <v>11923</v>
      </c>
      <c r="H251" s="8">
        <f t="shared" si="6"/>
        <v>119.23</v>
      </c>
      <c r="I251" s="7" t="s">
        <v>785</v>
      </c>
      <c r="J251" s="2" t="str">
        <f t="shared" si="7"/>
        <v>2025-02</v>
      </c>
    </row>
    <row r="252" spans="1:10" ht="14" x14ac:dyDescent="0.2">
      <c r="A252" s="10">
        <v>45716</v>
      </c>
      <c r="B252" s="10">
        <v>45736</v>
      </c>
      <c r="C252" s="7">
        <f>Table1[[#This Row],[Check-out Date]]-Table1[[#This Row],[Check-in Date]]</f>
        <v>20</v>
      </c>
      <c r="D252" s="7" t="s">
        <v>296</v>
      </c>
      <c r="E252" s="7" t="s">
        <v>938</v>
      </c>
      <c r="F252" s="14">
        <v>959.49</v>
      </c>
      <c r="G252" s="14">
        <f>Table1[[#This Row],[FULL AMOUNT usd]]*20</f>
        <v>19189.8</v>
      </c>
      <c r="H252" s="8">
        <f t="shared" si="6"/>
        <v>191.89800000000002</v>
      </c>
      <c r="I252" s="10" t="s">
        <v>785</v>
      </c>
      <c r="J252" s="24" t="str">
        <f t="shared" si="7"/>
        <v>2025-02</v>
      </c>
    </row>
    <row r="253" spans="1:10" ht="14" x14ac:dyDescent="0.2">
      <c r="A253" s="10">
        <v>45717</v>
      </c>
      <c r="B253" s="10">
        <v>45725</v>
      </c>
      <c r="C253" s="7">
        <f>Table1[[#This Row],[Check-out Date]]-Table1[[#This Row],[Check-in Date]]</f>
        <v>8</v>
      </c>
      <c r="D253" s="7" t="s">
        <v>295</v>
      </c>
      <c r="E253" s="7" t="s">
        <v>879</v>
      </c>
      <c r="F253" s="14">
        <v>410</v>
      </c>
      <c r="G253" s="14">
        <f>Table1[[#This Row],[FULL AMOUNT usd]]*20</f>
        <v>8200</v>
      </c>
      <c r="H253" s="8">
        <f t="shared" si="6"/>
        <v>82</v>
      </c>
      <c r="I253" s="10" t="s">
        <v>785</v>
      </c>
      <c r="J253" s="24" t="str">
        <f t="shared" si="7"/>
        <v>2025-03</v>
      </c>
    </row>
    <row r="254" spans="1:10" ht="14" x14ac:dyDescent="0.2">
      <c r="A254" s="10">
        <v>45726</v>
      </c>
      <c r="B254" s="10">
        <v>45731</v>
      </c>
      <c r="C254" s="7">
        <f>Table1[[#This Row],[Check-out Date]]-Table1[[#This Row],[Check-in Date]]</f>
        <v>5</v>
      </c>
      <c r="D254" s="7" t="s">
        <v>295</v>
      </c>
      <c r="E254" s="7" t="s">
        <v>939</v>
      </c>
      <c r="F254" s="14">
        <v>510.05</v>
      </c>
      <c r="G254" s="14">
        <f>Table1[[#This Row],[FULL AMOUNT usd]]*20</f>
        <v>10201</v>
      </c>
      <c r="H254" s="8">
        <f t="shared" si="6"/>
        <v>102.01</v>
      </c>
      <c r="I254" s="10" t="s">
        <v>810</v>
      </c>
      <c r="J254" s="24" t="str">
        <f t="shared" si="7"/>
        <v>2025-03</v>
      </c>
    </row>
    <row r="255" spans="1:10" ht="14" x14ac:dyDescent="0.2">
      <c r="A255" s="10">
        <v>45729</v>
      </c>
      <c r="B255" s="10">
        <v>45731</v>
      </c>
      <c r="C255" s="7">
        <f>Table1[[#This Row],[Check-out Date]]-Table1[[#This Row],[Check-in Date]]</f>
        <v>2</v>
      </c>
      <c r="D255" s="7" t="s">
        <v>296</v>
      </c>
      <c r="E255" s="7" t="s">
        <v>770</v>
      </c>
      <c r="F255" s="14">
        <v>260</v>
      </c>
      <c r="G255" s="14">
        <f>Table1[[#This Row],[FULL AMOUNT usd]]*20</f>
        <v>5200</v>
      </c>
      <c r="H255" s="8">
        <f t="shared" si="6"/>
        <v>52</v>
      </c>
      <c r="I255" s="10" t="s">
        <v>785</v>
      </c>
      <c r="J255" s="24" t="str">
        <f t="shared" si="7"/>
        <v>2025-03</v>
      </c>
    </row>
    <row r="256" spans="1:10" ht="14" x14ac:dyDescent="0.2">
      <c r="A256" s="10">
        <v>45733</v>
      </c>
      <c r="B256" s="10">
        <v>45737</v>
      </c>
      <c r="C256" s="7">
        <f>Table1[[#This Row],[Check-out Date]]-Table1[[#This Row],[Check-in Date]]</f>
        <v>4</v>
      </c>
      <c r="D256" s="7" t="s">
        <v>296</v>
      </c>
      <c r="E256" s="7" t="s">
        <v>941</v>
      </c>
      <c r="F256" s="14">
        <v>426.82</v>
      </c>
      <c r="G256" s="14">
        <f>Table1[[#This Row],[FULL AMOUNT usd]]*20</f>
        <v>8536.4</v>
      </c>
      <c r="H256" s="8">
        <f t="shared" si="6"/>
        <v>85.364000000000004</v>
      </c>
      <c r="I256" s="10" t="s">
        <v>785</v>
      </c>
      <c r="J256" s="24" t="str">
        <f t="shared" si="7"/>
        <v>2025-03</v>
      </c>
    </row>
    <row r="257" spans="1:10" ht="14" x14ac:dyDescent="0.2">
      <c r="A257" s="10">
        <v>45736</v>
      </c>
      <c r="B257" s="10">
        <v>45739</v>
      </c>
      <c r="C257" s="7">
        <f>Table1[[#This Row],[Check-out Date]]-Table1[[#This Row],[Check-in Date]]</f>
        <v>3</v>
      </c>
      <c r="D257" s="7" t="s">
        <v>295</v>
      </c>
      <c r="E257" s="7" t="s">
        <v>940</v>
      </c>
      <c r="F257" s="14">
        <v>512.07000000000005</v>
      </c>
      <c r="G257" s="14">
        <f>Table1[[#This Row],[FULL AMOUNT usd]]*20</f>
        <v>10241.400000000001</v>
      </c>
      <c r="H257" s="8">
        <f t="shared" si="6"/>
        <v>102.41400000000002</v>
      </c>
      <c r="I257" s="10" t="s">
        <v>785</v>
      </c>
      <c r="J257" s="24" t="str">
        <f t="shared" si="7"/>
        <v>2025-03</v>
      </c>
    </row>
    <row r="258" spans="1:10" ht="14" x14ac:dyDescent="0.2">
      <c r="A258" s="10">
        <v>45744</v>
      </c>
      <c r="B258" s="10">
        <v>45746</v>
      </c>
      <c r="C258" s="7">
        <f>Table1[[#This Row],[Check-out Date]]-Table1[[#This Row],[Check-in Date]]</f>
        <v>2</v>
      </c>
      <c r="D258" s="7" t="s">
        <v>295</v>
      </c>
      <c r="E258" s="7" t="s">
        <v>942</v>
      </c>
      <c r="F258" s="14">
        <v>279.14</v>
      </c>
      <c r="G258" s="14">
        <f>Table1[[#This Row],[FULL AMOUNT usd]]*20</f>
        <v>5582.7999999999993</v>
      </c>
      <c r="H258" s="8">
        <f t="shared" ref="H258:H303" si="8">F258*0.2</f>
        <v>55.828000000000003</v>
      </c>
      <c r="I258" s="10" t="s">
        <v>785</v>
      </c>
      <c r="J258" s="24" t="str">
        <f t="shared" ref="J258:J303" si="9">YEAR(A258)&amp;"-"&amp;TEXT(MONTH(A258),"00")</f>
        <v>2025-03</v>
      </c>
    </row>
    <row r="259" spans="1:10" ht="14" x14ac:dyDescent="0.2">
      <c r="A259" s="10">
        <v>45749</v>
      </c>
      <c r="B259" s="10">
        <v>45752</v>
      </c>
      <c r="C259" s="7">
        <f>Table1[[#This Row],[Check-out Date]]-Table1[[#This Row],[Check-in Date]]</f>
        <v>3</v>
      </c>
      <c r="D259" s="7" t="s">
        <v>297</v>
      </c>
      <c r="E259" s="7" t="s">
        <v>943</v>
      </c>
      <c r="F259" s="14">
        <v>460</v>
      </c>
      <c r="G259" s="14">
        <f>Table1[[#This Row],[FULL AMOUNT usd]]*20</f>
        <v>9200</v>
      </c>
      <c r="H259" s="8">
        <f t="shared" si="8"/>
        <v>92</v>
      </c>
      <c r="I259" s="10" t="s">
        <v>785</v>
      </c>
      <c r="J259" s="24" t="str">
        <f t="shared" si="9"/>
        <v>2025-04</v>
      </c>
    </row>
    <row r="260" spans="1:10" x14ac:dyDescent="0.15">
      <c r="A260" s="10">
        <v>45749</v>
      </c>
      <c r="B260" s="10">
        <v>45752</v>
      </c>
      <c r="C260" s="7">
        <f>Table1[[#This Row],[Check-out Date]]-Table1[[#This Row],[Check-in Date]]</f>
        <v>3</v>
      </c>
      <c r="D260" s="7" t="s">
        <v>297</v>
      </c>
      <c r="F260" s="14">
        <v>460</v>
      </c>
      <c r="G260" s="14">
        <f>Table1[[#This Row],[FULL AMOUNT usd]]*20</f>
        <v>9200</v>
      </c>
      <c r="H260" s="8">
        <f t="shared" si="8"/>
        <v>92</v>
      </c>
      <c r="I260" s="7" t="s">
        <v>785</v>
      </c>
      <c r="J260" s="2" t="str">
        <f t="shared" si="9"/>
        <v>2025-04</v>
      </c>
    </row>
    <row r="261" spans="1:10" ht="14" x14ac:dyDescent="0.2">
      <c r="A261" s="10">
        <v>45750</v>
      </c>
      <c r="B261" s="10">
        <v>45753</v>
      </c>
      <c r="C261" s="7">
        <f>Table1[[#This Row],[Check-out Date]]-Table1[[#This Row],[Check-in Date]]</f>
        <v>3</v>
      </c>
      <c r="D261" s="7" t="s">
        <v>295</v>
      </c>
      <c r="E261" s="7" t="s">
        <v>944</v>
      </c>
      <c r="F261" s="14">
        <v>267.52</v>
      </c>
      <c r="G261" s="14">
        <f>Table1[[#This Row],[FULL AMOUNT usd]]*20</f>
        <v>5350.4</v>
      </c>
      <c r="H261" s="8">
        <f t="shared" si="8"/>
        <v>53.503999999999998</v>
      </c>
      <c r="I261" s="10" t="s">
        <v>787</v>
      </c>
      <c r="J261" s="24" t="str">
        <f t="shared" si="9"/>
        <v>2025-04</v>
      </c>
    </row>
    <row r="262" spans="1:10" ht="14" x14ac:dyDescent="0.2">
      <c r="A262" s="10">
        <v>45752</v>
      </c>
      <c r="B262" s="10">
        <v>45757</v>
      </c>
      <c r="C262" s="7">
        <f>Table1[[#This Row],[Check-out Date]]-Table1[[#This Row],[Check-in Date]]</f>
        <v>5</v>
      </c>
      <c r="D262" s="7" t="s">
        <v>296</v>
      </c>
      <c r="E262" s="7" t="s">
        <v>945</v>
      </c>
      <c r="F262" s="14">
        <v>679</v>
      </c>
      <c r="G262" s="14">
        <f>Table1[[#This Row],[FULL AMOUNT usd]]*20</f>
        <v>13580</v>
      </c>
      <c r="H262" s="8">
        <f t="shared" si="8"/>
        <v>135.80000000000001</v>
      </c>
      <c r="I262" s="10" t="s">
        <v>785</v>
      </c>
      <c r="J262" s="24" t="str">
        <f t="shared" si="9"/>
        <v>2025-04</v>
      </c>
    </row>
    <row r="263" spans="1:10" ht="14" x14ac:dyDescent="0.2">
      <c r="A263" s="10">
        <v>45755</v>
      </c>
      <c r="B263" s="10">
        <v>45758</v>
      </c>
      <c r="C263" s="7">
        <f>Table1[[#This Row],[Check-out Date]]-Table1[[#This Row],[Check-in Date]]</f>
        <v>3</v>
      </c>
      <c r="D263" s="7" t="s">
        <v>295</v>
      </c>
      <c r="E263" s="7" t="s">
        <v>946</v>
      </c>
      <c r="F263" s="14">
        <v>330.27</v>
      </c>
      <c r="G263" s="14">
        <f>Table1[[#This Row],[FULL AMOUNT usd]]*20</f>
        <v>6605.4</v>
      </c>
      <c r="H263" s="8">
        <f t="shared" si="8"/>
        <v>66.054000000000002</v>
      </c>
      <c r="I263" s="10" t="s">
        <v>785</v>
      </c>
      <c r="J263" s="24" t="str">
        <f t="shared" si="9"/>
        <v>2025-04</v>
      </c>
    </row>
    <row r="264" spans="1:10" ht="14" x14ac:dyDescent="0.2">
      <c r="A264" s="10">
        <v>45758</v>
      </c>
      <c r="B264" s="10">
        <v>45761</v>
      </c>
      <c r="C264" s="7">
        <f>Table1[[#This Row],[Check-out Date]]-Table1[[#This Row],[Check-in Date]]</f>
        <v>3</v>
      </c>
      <c r="D264" s="7" t="s">
        <v>297</v>
      </c>
      <c r="E264" s="7" t="s">
        <v>946</v>
      </c>
      <c r="F264" s="14">
        <v>320.17</v>
      </c>
      <c r="G264" s="14">
        <f>Table1[[#This Row],[FULL AMOUNT usd]]*20</f>
        <v>6403.4000000000005</v>
      </c>
      <c r="H264" s="8">
        <f t="shared" si="8"/>
        <v>64.034000000000006</v>
      </c>
      <c r="I264" s="10" t="s">
        <v>787</v>
      </c>
      <c r="J264" s="24" t="str">
        <f t="shared" si="9"/>
        <v>2025-04</v>
      </c>
    </row>
    <row r="265" spans="1:10" ht="14" x14ac:dyDescent="0.2">
      <c r="A265" s="10">
        <v>45758</v>
      </c>
      <c r="B265" s="10">
        <v>45765</v>
      </c>
      <c r="C265" s="7">
        <f>Table1[[#This Row],[Check-out Date]]-Table1[[#This Row],[Check-in Date]]</f>
        <v>7</v>
      </c>
      <c r="D265" s="7" t="s">
        <v>295</v>
      </c>
      <c r="E265" s="7" t="s">
        <v>921</v>
      </c>
      <c r="F265" s="14">
        <v>760</v>
      </c>
      <c r="G265" s="14">
        <f>Table1[[#This Row],[FULL AMOUNT usd]]*20</f>
        <v>15200</v>
      </c>
      <c r="H265" s="8">
        <f t="shared" si="8"/>
        <v>152</v>
      </c>
      <c r="I265" s="10" t="s">
        <v>785</v>
      </c>
      <c r="J265" s="24" t="str">
        <f t="shared" si="9"/>
        <v>2025-04</v>
      </c>
    </row>
    <row r="266" spans="1:10" x14ac:dyDescent="0.15">
      <c r="A266" s="10">
        <v>45758</v>
      </c>
      <c r="B266" s="10">
        <v>45761</v>
      </c>
      <c r="C266" s="7">
        <f>Table1[[#This Row],[Check-out Date]]-Table1[[#This Row],[Check-in Date]]</f>
        <v>3</v>
      </c>
      <c r="D266" s="7" t="s">
        <v>297</v>
      </c>
      <c r="F266" s="14">
        <v>320.17</v>
      </c>
      <c r="G266" s="14">
        <f>Table1[[#This Row],[FULL AMOUNT usd]]*20</f>
        <v>6403.4000000000005</v>
      </c>
      <c r="H266" s="8">
        <f t="shared" si="8"/>
        <v>64.034000000000006</v>
      </c>
      <c r="I266" s="7" t="s">
        <v>785</v>
      </c>
      <c r="J266" s="2" t="str">
        <f t="shared" si="9"/>
        <v>2025-04</v>
      </c>
    </row>
    <row r="267" spans="1:10" ht="14" x14ac:dyDescent="0.2">
      <c r="A267" s="10">
        <v>45799</v>
      </c>
      <c r="B267" s="10">
        <v>45805</v>
      </c>
      <c r="C267" s="7">
        <f>Table1[[#This Row],[Check-out Date]]-Table1[[#This Row],[Check-in Date]]</f>
        <v>6</v>
      </c>
      <c r="D267" s="7" t="s">
        <v>296</v>
      </c>
      <c r="E267" s="7" t="s">
        <v>947</v>
      </c>
      <c r="F267" s="14">
        <v>624</v>
      </c>
      <c r="G267" s="14">
        <f>Table1[[#This Row],[FULL AMOUNT usd]]*20</f>
        <v>12480</v>
      </c>
      <c r="H267" s="8">
        <f t="shared" si="8"/>
        <v>124.80000000000001</v>
      </c>
      <c r="I267" s="10" t="s">
        <v>785</v>
      </c>
      <c r="J267" s="24" t="str">
        <f t="shared" si="9"/>
        <v>2025-05</v>
      </c>
    </row>
    <row r="268" spans="1:10" ht="14" x14ac:dyDescent="0.2">
      <c r="A268" s="10">
        <v>45804</v>
      </c>
      <c r="B268" s="10">
        <v>45807</v>
      </c>
      <c r="C268" s="7">
        <f>Table1[[#This Row],[Check-out Date]]-Table1[[#This Row],[Check-in Date]]</f>
        <v>3</v>
      </c>
      <c r="D268" s="7" t="s">
        <v>297</v>
      </c>
      <c r="E268" s="7" t="s">
        <v>948</v>
      </c>
      <c r="F268" s="14">
        <v>330.27</v>
      </c>
      <c r="G268" s="14">
        <f>Table1[[#This Row],[FULL AMOUNT usd]]*20</f>
        <v>6605.4</v>
      </c>
      <c r="H268" s="8">
        <f t="shared" si="8"/>
        <v>66.054000000000002</v>
      </c>
      <c r="I268" s="10" t="s">
        <v>974</v>
      </c>
      <c r="J268" s="24" t="str">
        <f t="shared" si="9"/>
        <v>2025-05</v>
      </c>
    </row>
    <row r="269" spans="1:10" x14ac:dyDescent="0.15">
      <c r="A269" s="10">
        <v>45804</v>
      </c>
      <c r="B269" s="10">
        <v>45807</v>
      </c>
      <c r="C269" s="7">
        <f>Table1[[#This Row],[Check-out Date]]-Table1[[#This Row],[Check-in Date]]</f>
        <v>3</v>
      </c>
      <c r="D269" s="7" t="s">
        <v>297</v>
      </c>
      <c r="F269" s="14">
        <v>330.27</v>
      </c>
      <c r="G269" s="14">
        <f>Table1[[#This Row],[FULL AMOUNT usd]]*20</f>
        <v>6605.4</v>
      </c>
      <c r="H269" s="8">
        <f t="shared" si="8"/>
        <v>66.054000000000002</v>
      </c>
      <c r="I269" s="7" t="s">
        <v>785</v>
      </c>
      <c r="J269" s="2" t="str">
        <f t="shared" si="9"/>
        <v>2025-05</v>
      </c>
    </row>
    <row r="270" spans="1:10" ht="14" x14ac:dyDescent="0.2">
      <c r="A270" s="10">
        <v>45836</v>
      </c>
      <c r="B270" s="10">
        <v>45838</v>
      </c>
      <c r="C270" s="7">
        <f>Table1[[#This Row],[Check-out Date]]-Table1[[#This Row],[Check-in Date]]</f>
        <v>2</v>
      </c>
      <c r="D270" s="7" t="s">
        <v>296</v>
      </c>
      <c r="E270" s="7" t="s">
        <v>949</v>
      </c>
      <c r="F270" s="14">
        <v>248.02</v>
      </c>
      <c r="G270" s="14">
        <f>Table1[[#This Row],[FULL AMOUNT usd]]*20</f>
        <v>4960.4000000000005</v>
      </c>
      <c r="H270" s="8">
        <f t="shared" si="8"/>
        <v>49.604000000000006</v>
      </c>
      <c r="I270" s="10" t="s">
        <v>785</v>
      </c>
      <c r="J270" s="24" t="str">
        <f t="shared" si="9"/>
        <v>2025-06</v>
      </c>
    </row>
    <row r="271" spans="1:10" ht="14" x14ac:dyDescent="0.2">
      <c r="A271" s="10">
        <v>45855</v>
      </c>
      <c r="B271" s="10">
        <v>45866</v>
      </c>
      <c r="C271" s="7">
        <f>Table1[[#This Row],[Check-out Date]]-Table1[[#This Row],[Check-in Date]]</f>
        <v>11</v>
      </c>
      <c r="D271" s="7" t="s">
        <v>295</v>
      </c>
      <c r="E271" s="7" t="s">
        <v>951</v>
      </c>
      <c r="F271" s="14">
        <v>1189</v>
      </c>
      <c r="G271" s="14">
        <f>Table1[[#This Row],[FULL AMOUNT usd]]*20</f>
        <v>23780</v>
      </c>
      <c r="H271" s="8">
        <f t="shared" si="8"/>
        <v>237.8</v>
      </c>
      <c r="I271" s="10" t="s">
        <v>785</v>
      </c>
      <c r="J271" s="24" t="str">
        <f t="shared" si="9"/>
        <v>2025-07</v>
      </c>
    </row>
    <row r="272" spans="1:10" ht="14" x14ac:dyDescent="0.2">
      <c r="A272" s="10">
        <v>45863</v>
      </c>
      <c r="B272" s="10">
        <v>45865</v>
      </c>
      <c r="C272" s="7">
        <f>Table1[[#This Row],[Check-out Date]]-Table1[[#This Row],[Check-in Date]]</f>
        <v>2</v>
      </c>
      <c r="D272" s="7" t="s">
        <v>296</v>
      </c>
      <c r="E272" s="7" t="s">
        <v>950</v>
      </c>
      <c r="F272" s="14">
        <v>214.46</v>
      </c>
      <c r="G272" s="14">
        <f>Table1[[#This Row],[FULL AMOUNT usd]]*20</f>
        <v>4289.2</v>
      </c>
      <c r="H272" s="8">
        <f t="shared" si="8"/>
        <v>42.892000000000003</v>
      </c>
      <c r="I272" s="10" t="s">
        <v>785</v>
      </c>
      <c r="J272" s="24" t="str">
        <f t="shared" si="9"/>
        <v>2025-07</v>
      </c>
    </row>
    <row r="273" spans="1:10" ht="14" x14ac:dyDescent="0.2">
      <c r="A273" s="10">
        <v>45897</v>
      </c>
      <c r="B273" s="10">
        <v>45899</v>
      </c>
      <c r="C273" s="7">
        <f>Table1[[#This Row],[Check-out Date]]-Table1[[#This Row],[Check-in Date]]</f>
        <v>2</v>
      </c>
      <c r="D273" s="7" t="s">
        <v>295</v>
      </c>
      <c r="E273" s="7" t="s">
        <v>952</v>
      </c>
      <c r="F273" s="14">
        <v>190.42</v>
      </c>
      <c r="G273" s="14">
        <f>Table1[[#This Row],[FULL AMOUNT usd]]*20</f>
        <v>3808.3999999999996</v>
      </c>
      <c r="H273" s="8">
        <f t="shared" si="8"/>
        <v>38.083999999999996</v>
      </c>
      <c r="I273" s="10" t="s">
        <v>810</v>
      </c>
      <c r="J273" s="24" t="str">
        <f t="shared" si="9"/>
        <v>2025-08</v>
      </c>
    </row>
    <row r="274" spans="1:10" ht="14" x14ac:dyDescent="0.2">
      <c r="A274" s="10">
        <v>45954</v>
      </c>
      <c r="B274" s="10">
        <v>45957</v>
      </c>
      <c r="C274" s="7">
        <f>Table1[[#This Row],[Check-out Date]]-Table1[[#This Row],[Check-in Date]]</f>
        <v>3</v>
      </c>
      <c r="D274" s="7" t="s">
        <v>295</v>
      </c>
      <c r="E274" s="7" t="s">
        <v>953</v>
      </c>
      <c r="F274" s="14">
        <v>270</v>
      </c>
      <c r="G274" s="14">
        <f>Table1[[#This Row],[FULL AMOUNT usd]]*20</f>
        <v>5400</v>
      </c>
      <c r="H274" s="8">
        <f t="shared" si="8"/>
        <v>54</v>
      </c>
      <c r="I274" s="10" t="s">
        <v>974</v>
      </c>
      <c r="J274" s="24" t="str">
        <f t="shared" si="9"/>
        <v>2025-10</v>
      </c>
    </row>
    <row r="275" spans="1:10" ht="14" x14ac:dyDescent="0.2">
      <c r="A275" s="10">
        <v>45975</v>
      </c>
      <c r="B275" s="10">
        <v>45981</v>
      </c>
      <c r="C275" s="7">
        <f>Table1[[#This Row],[Check-out Date]]-Table1[[#This Row],[Check-in Date]]</f>
        <v>6</v>
      </c>
      <c r="D275" s="7" t="s">
        <v>295</v>
      </c>
      <c r="E275" s="7" t="s">
        <v>946</v>
      </c>
      <c r="F275" s="14">
        <v>700</v>
      </c>
      <c r="G275" s="14">
        <f>Table1[[#This Row],[FULL AMOUNT usd]]*20</f>
        <v>14000</v>
      </c>
      <c r="H275" s="8">
        <f t="shared" si="8"/>
        <v>140</v>
      </c>
      <c r="I275" s="10" t="s">
        <v>974</v>
      </c>
      <c r="J275" s="24" t="str">
        <f t="shared" si="9"/>
        <v>2025-11</v>
      </c>
    </row>
    <row r="276" spans="1:10" ht="14" x14ac:dyDescent="0.2">
      <c r="A276" s="10">
        <v>45983</v>
      </c>
      <c r="B276" s="10">
        <v>45998</v>
      </c>
      <c r="C276" s="7">
        <f>Table1[[#This Row],[Check-out Date]]-Table1[[#This Row],[Check-in Date]]</f>
        <v>15</v>
      </c>
      <c r="D276" s="7" t="s">
        <v>295</v>
      </c>
      <c r="E276" s="7" t="s">
        <v>915</v>
      </c>
      <c r="F276" s="14">
        <v>1700</v>
      </c>
      <c r="G276" s="14">
        <f>Table1[[#This Row],[FULL AMOUNT usd]]*20</f>
        <v>34000</v>
      </c>
      <c r="H276" s="8">
        <f t="shared" si="8"/>
        <v>340</v>
      </c>
      <c r="I276" s="10" t="s">
        <v>974</v>
      </c>
      <c r="J276" s="24" t="str">
        <f t="shared" si="9"/>
        <v>2025-11</v>
      </c>
    </row>
    <row r="277" spans="1:10" ht="14" x14ac:dyDescent="0.2">
      <c r="A277" s="10">
        <v>46015</v>
      </c>
      <c r="B277" s="10">
        <v>46026</v>
      </c>
      <c r="C277" s="7">
        <f>Table1[[#This Row],[Check-out Date]]-Table1[[#This Row],[Check-in Date]]</f>
        <v>11</v>
      </c>
      <c r="D277" s="7" t="s">
        <v>296</v>
      </c>
      <c r="E277" s="7" t="s">
        <v>954</v>
      </c>
      <c r="F277" s="14">
        <v>2350</v>
      </c>
      <c r="G277" s="14">
        <f>Table1[[#This Row],[FULL AMOUNT usd]]*20</f>
        <v>47000</v>
      </c>
      <c r="H277" s="8">
        <f t="shared" si="8"/>
        <v>470</v>
      </c>
      <c r="I277" s="7" t="s">
        <v>810</v>
      </c>
      <c r="J277" s="24" t="str">
        <f t="shared" si="9"/>
        <v>2025-12</v>
      </c>
    </row>
    <row r="278" spans="1:10" ht="14" x14ac:dyDescent="0.2">
      <c r="A278" s="10">
        <v>46019</v>
      </c>
      <c r="B278" s="10">
        <v>46022</v>
      </c>
      <c r="C278" s="7">
        <f>Table1[[#This Row],[Check-out Date]]-Table1[[#This Row],[Check-in Date]]</f>
        <v>3</v>
      </c>
      <c r="D278" s="7" t="s">
        <v>295</v>
      </c>
      <c r="E278" s="7" t="s">
        <v>960</v>
      </c>
      <c r="F278" s="14">
        <v>455</v>
      </c>
      <c r="G278" s="14">
        <f>Table1[[#This Row],[FULL AMOUNT usd]]*20</f>
        <v>9100</v>
      </c>
      <c r="H278" s="8">
        <f t="shared" si="8"/>
        <v>91</v>
      </c>
      <c r="I278" s="7" t="s">
        <v>810</v>
      </c>
      <c r="J278" s="24" t="str">
        <f t="shared" si="9"/>
        <v>2025-12</v>
      </c>
    </row>
    <row r="279" spans="1:10" ht="14" x14ac:dyDescent="0.2">
      <c r="A279" s="10">
        <v>46023</v>
      </c>
      <c r="B279" s="10">
        <v>46026</v>
      </c>
      <c r="C279" s="7">
        <f>Table1[[#This Row],[Check-out Date]]-Table1[[#This Row],[Check-in Date]]</f>
        <v>3</v>
      </c>
      <c r="D279" s="7" t="s">
        <v>295</v>
      </c>
      <c r="E279" s="7" t="s">
        <v>955</v>
      </c>
      <c r="F279" s="14">
        <v>581.44000000000005</v>
      </c>
      <c r="G279" s="14">
        <f>Table1[[#This Row],[FULL AMOUNT usd]]*20</f>
        <v>11628.800000000001</v>
      </c>
      <c r="H279" s="8">
        <f t="shared" si="8"/>
        <v>116.28800000000001</v>
      </c>
      <c r="I279" s="7" t="s">
        <v>785</v>
      </c>
      <c r="J279" s="24" t="str">
        <f t="shared" si="9"/>
        <v>2026-01</v>
      </c>
    </row>
    <row r="280" spans="1:10" ht="14" x14ac:dyDescent="0.2">
      <c r="A280" s="10">
        <v>46023</v>
      </c>
      <c r="B280" s="10">
        <v>46026</v>
      </c>
      <c r="C280" s="7">
        <f>Table1[[#This Row],[Check-out Date]]-Table1[[#This Row],[Check-in Date]]</f>
        <v>3</v>
      </c>
      <c r="D280" s="7" t="s">
        <v>295</v>
      </c>
      <c r="E280" s="7" t="s">
        <v>956</v>
      </c>
      <c r="F280" s="14">
        <v>307</v>
      </c>
      <c r="G280" s="14">
        <f>Table1[[#This Row],[FULL AMOUNT usd]]*20</f>
        <v>6140</v>
      </c>
      <c r="H280" s="8">
        <f t="shared" si="8"/>
        <v>61.400000000000006</v>
      </c>
      <c r="I280" s="7" t="s">
        <v>785</v>
      </c>
      <c r="J280" s="24" t="str">
        <f t="shared" si="9"/>
        <v>2026-01</v>
      </c>
    </row>
    <row r="281" spans="1:10" ht="14" x14ac:dyDescent="0.2">
      <c r="A281" s="10">
        <v>46026</v>
      </c>
      <c r="B281" s="10">
        <v>46028</v>
      </c>
      <c r="C281" s="7">
        <f>Table1[[#This Row],[Check-out Date]]-Table1[[#This Row],[Check-in Date]]</f>
        <v>2</v>
      </c>
      <c r="D281" s="7" t="s">
        <v>295</v>
      </c>
      <c r="E281" s="7" t="s">
        <v>957</v>
      </c>
      <c r="F281" s="14">
        <v>220</v>
      </c>
      <c r="G281" s="14">
        <f>Table1[[#This Row],[FULL AMOUNT usd]]*20</f>
        <v>4400</v>
      </c>
      <c r="H281" s="8">
        <f t="shared" si="8"/>
        <v>44</v>
      </c>
      <c r="I281" s="7" t="s">
        <v>785</v>
      </c>
      <c r="J281" s="24" t="str">
        <f t="shared" si="9"/>
        <v>2026-01</v>
      </c>
    </row>
    <row r="282" spans="1:10" ht="14" x14ac:dyDescent="0.2">
      <c r="A282" s="10">
        <v>46026</v>
      </c>
      <c r="B282" s="10">
        <v>46032</v>
      </c>
      <c r="C282" s="7">
        <f>Table1[[#This Row],[Check-out Date]]-Table1[[#This Row],[Check-in Date]]</f>
        <v>6</v>
      </c>
      <c r="D282" s="7" t="s">
        <v>296</v>
      </c>
      <c r="E282" s="7" t="s">
        <v>961</v>
      </c>
      <c r="F282" s="14">
        <v>631.89</v>
      </c>
      <c r="G282" s="14">
        <f>Table1[[#This Row],[FULL AMOUNT usd]]*20</f>
        <v>12637.8</v>
      </c>
      <c r="H282" s="8">
        <f t="shared" si="8"/>
        <v>126.378</v>
      </c>
      <c r="I282" s="7" t="s">
        <v>785</v>
      </c>
      <c r="J282" s="24" t="str">
        <f t="shared" si="9"/>
        <v>2026-01</v>
      </c>
    </row>
    <row r="283" spans="1:10" ht="14" x14ac:dyDescent="0.2">
      <c r="A283" s="10">
        <v>46028</v>
      </c>
      <c r="B283" s="10">
        <v>46033</v>
      </c>
      <c r="C283" s="7">
        <f>Table1[[#This Row],[Check-out Date]]-Table1[[#This Row],[Check-in Date]]</f>
        <v>5</v>
      </c>
      <c r="D283" s="7" t="s">
        <v>295</v>
      </c>
      <c r="E283" s="7" t="s">
        <v>958</v>
      </c>
      <c r="F283" s="14">
        <v>302</v>
      </c>
      <c r="G283" s="14">
        <f>Table1[[#This Row],[FULL AMOUNT usd]]*20</f>
        <v>6040</v>
      </c>
      <c r="H283" s="8">
        <f t="shared" si="8"/>
        <v>60.400000000000006</v>
      </c>
      <c r="I283" s="7" t="s">
        <v>785</v>
      </c>
      <c r="J283" s="24" t="str">
        <f t="shared" si="9"/>
        <v>2026-01</v>
      </c>
    </row>
    <row r="284" spans="1:10" ht="14" x14ac:dyDescent="0.2">
      <c r="A284" s="10">
        <v>46028</v>
      </c>
      <c r="B284" s="10">
        <v>46033</v>
      </c>
      <c r="C284" s="7">
        <f>Table1[[#This Row],[Check-out Date]]-Table1[[#This Row],[Check-in Date]]</f>
        <v>5</v>
      </c>
      <c r="D284" s="7" t="s">
        <v>295</v>
      </c>
      <c r="E284" s="7" t="s">
        <v>962</v>
      </c>
      <c r="F284" s="14">
        <v>403.56</v>
      </c>
      <c r="G284" s="14">
        <f>Table1[[#This Row],[FULL AMOUNT usd]]*20</f>
        <v>8071.2</v>
      </c>
      <c r="H284" s="8">
        <f t="shared" si="8"/>
        <v>80.712000000000003</v>
      </c>
      <c r="I284" s="7" t="s">
        <v>785</v>
      </c>
      <c r="J284" s="24" t="str">
        <f t="shared" si="9"/>
        <v>2026-01</v>
      </c>
    </row>
    <row r="285" spans="1:10" ht="14" x14ac:dyDescent="0.2">
      <c r="A285" s="10">
        <v>46030</v>
      </c>
      <c r="B285" s="10">
        <v>46034</v>
      </c>
      <c r="C285" s="7">
        <f>Table1[[#This Row],[Check-out Date]]-Table1[[#This Row],[Check-in Date]]</f>
        <v>4</v>
      </c>
      <c r="D285" s="7" t="s">
        <v>296</v>
      </c>
      <c r="E285" s="7" t="s">
        <v>959</v>
      </c>
      <c r="F285" s="14">
        <v>1205</v>
      </c>
      <c r="G285" s="14">
        <f>Table1[[#This Row],[FULL AMOUNT usd]]*20</f>
        <v>24100</v>
      </c>
      <c r="H285" s="8">
        <f t="shared" si="8"/>
        <v>241</v>
      </c>
      <c r="I285" s="7" t="s">
        <v>810</v>
      </c>
      <c r="J285" s="24" t="str">
        <f t="shared" si="9"/>
        <v>2026-01</v>
      </c>
    </row>
    <row r="286" spans="1:10" ht="14" x14ac:dyDescent="0.2">
      <c r="A286" s="10">
        <v>46045</v>
      </c>
      <c r="B286" s="10">
        <v>46054</v>
      </c>
      <c r="C286" s="7">
        <f>Table1[[#This Row],[Check-out Date]]-Table1[[#This Row],[Check-in Date]]</f>
        <v>9</v>
      </c>
      <c r="D286" s="7" t="s">
        <v>296</v>
      </c>
      <c r="E286" s="7" t="s">
        <v>963</v>
      </c>
      <c r="F286" s="14">
        <v>1300</v>
      </c>
      <c r="G286" s="14">
        <f>Table1[[#This Row],[FULL AMOUNT usd]]*20</f>
        <v>26000</v>
      </c>
      <c r="H286" s="8">
        <f t="shared" si="8"/>
        <v>260</v>
      </c>
      <c r="I286" s="7" t="s">
        <v>810</v>
      </c>
      <c r="J286" s="24" t="str">
        <f t="shared" si="9"/>
        <v>2026-01</v>
      </c>
    </row>
    <row r="287" spans="1:10" ht="14" x14ac:dyDescent="0.2">
      <c r="A287" s="10">
        <v>46045</v>
      </c>
      <c r="B287" s="10">
        <v>46047</v>
      </c>
      <c r="C287" s="7">
        <f>Table1[[#This Row],[Check-out Date]]-Table1[[#This Row],[Check-in Date]]</f>
        <v>2</v>
      </c>
      <c r="D287" s="7" t="s">
        <v>295</v>
      </c>
      <c r="E287" s="7" t="s">
        <v>964</v>
      </c>
      <c r="F287" s="14">
        <v>175.23</v>
      </c>
      <c r="G287" s="14">
        <f>Table1[[#This Row],[FULL AMOUNT usd]]*20</f>
        <v>3504.6</v>
      </c>
      <c r="H287" s="8">
        <f t="shared" si="8"/>
        <v>35.045999999999999</v>
      </c>
      <c r="I287" s="7" t="s">
        <v>785</v>
      </c>
      <c r="J287" s="24" t="str">
        <f t="shared" si="9"/>
        <v>2026-01</v>
      </c>
    </row>
    <row r="288" spans="1:10" ht="14" x14ac:dyDescent="0.2">
      <c r="A288" s="10">
        <v>46049</v>
      </c>
      <c r="B288" s="10">
        <v>46053</v>
      </c>
      <c r="C288" s="7">
        <f>Table1[[#This Row],[Check-out Date]]-Table1[[#This Row],[Check-in Date]]</f>
        <v>4</v>
      </c>
      <c r="D288" s="7" t="s">
        <v>295</v>
      </c>
      <c r="E288" s="7" t="s">
        <v>878</v>
      </c>
      <c r="F288" s="14">
        <v>686.76</v>
      </c>
      <c r="G288" s="14">
        <f>Table1[[#This Row],[FULL AMOUNT usd]]*20</f>
        <v>13735.2</v>
      </c>
      <c r="H288" s="8">
        <f t="shared" si="8"/>
        <v>137.352</v>
      </c>
      <c r="I288" s="7" t="s">
        <v>785</v>
      </c>
      <c r="J288" s="24" t="str">
        <f t="shared" si="9"/>
        <v>2026-01</v>
      </c>
    </row>
    <row r="289" spans="1:10" ht="14" x14ac:dyDescent="0.2">
      <c r="A289" s="10">
        <v>46058</v>
      </c>
      <c r="B289" s="10">
        <v>46060</v>
      </c>
      <c r="C289" s="7">
        <f>Table1[[#This Row],[Check-out Date]]-Table1[[#This Row],[Check-in Date]]</f>
        <v>2</v>
      </c>
      <c r="D289" s="7" t="s">
        <v>295</v>
      </c>
      <c r="E289" s="7" t="s">
        <v>966</v>
      </c>
      <c r="F289" s="14">
        <v>246</v>
      </c>
      <c r="G289" s="14">
        <f>Table1[[#This Row],[FULL AMOUNT usd]]*20</f>
        <v>4920</v>
      </c>
      <c r="H289" s="8">
        <f t="shared" si="8"/>
        <v>49.2</v>
      </c>
      <c r="I289" s="7" t="s">
        <v>785</v>
      </c>
      <c r="J289" s="24" t="str">
        <f t="shared" si="9"/>
        <v>2026-02</v>
      </c>
    </row>
    <row r="290" spans="1:10" ht="14" x14ac:dyDescent="0.2">
      <c r="A290" s="10">
        <v>46060</v>
      </c>
      <c r="B290" s="10">
        <v>46068</v>
      </c>
      <c r="C290" s="7">
        <f>Table1[[#This Row],[Check-out Date]]-Table1[[#This Row],[Check-in Date]]</f>
        <v>8</v>
      </c>
      <c r="D290" s="7" t="s">
        <v>295</v>
      </c>
      <c r="E290" s="7" t="s">
        <v>965</v>
      </c>
      <c r="F290" s="14">
        <v>461.97</v>
      </c>
      <c r="G290" s="14">
        <f>Table1[[#This Row],[FULL AMOUNT usd]]*20</f>
        <v>9239.4000000000015</v>
      </c>
      <c r="H290" s="8">
        <f t="shared" si="8"/>
        <v>92.394000000000005</v>
      </c>
      <c r="I290" s="7" t="s">
        <v>785</v>
      </c>
      <c r="J290" s="24" t="str">
        <f t="shared" si="9"/>
        <v>2026-02</v>
      </c>
    </row>
    <row r="291" spans="1:10" ht="14" x14ac:dyDescent="0.2">
      <c r="A291" s="10">
        <v>46065</v>
      </c>
      <c r="B291" s="10">
        <v>46067</v>
      </c>
      <c r="C291" s="7">
        <f>Table1[[#This Row],[Check-out Date]]-Table1[[#This Row],[Check-in Date]]</f>
        <v>2</v>
      </c>
      <c r="D291" s="7" t="s">
        <v>295</v>
      </c>
      <c r="E291" s="7" t="s">
        <v>967</v>
      </c>
      <c r="F291" s="14">
        <v>175</v>
      </c>
      <c r="G291" s="14">
        <f>Table1[[#This Row],[FULL AMOUNT usd]]*20</f>
        <v>3500</v>
      </c>
      <c r="H291" s="8">
        <f t="shared" si="8"/>
        <v>35</v>
      </c>
      <c r="I291" s="7" t="s">
        <v>785</v>
      </c>
      <c r="J291" s="24" t="str">
        <f t="shared" si="9"/>
        <v>2026-02</v>
      </c>
    </row>
    <row r="292" spans="1:10" ht="14" x14ac:dyDescent="0.2">
      <c r="A292" s="10">
        <v>46069</v>
      </c>
      <c r="B292" s="10">
        <v>46070</v>
      </c>
      <c r="C292" s="7">
        <f>Table1[[#This Row],[Check-out Date]]-Table1[[#This Row],[Check-in Date]]</f>
        <v>1</v>
      </c>
      <c r="D292" s="7" t="s">
        <v>295</v>
      </c>
      <c r="E292" s="7" t="s">
        <v>968</v>
      </c>
      <c r="F292" s="14">
        <v>183.14</v>
      </c>
      <c r="G292" s="14">
        <f>Table1[[#This Row],[FULL AMOUNT usd]]*20</f>
        <v>3662.7999999999997</v>
      </c>
      <c r="H292" s="8">
        <f t="shared" si="8"/>
        <v>36.628</v>
      </c>
      <c r="I292" s="7" t="s">
        <v>787</v>
      </c>
      <c r="J292" s="24" t="str">
        <f t="shared" si="9"/>
        <v>2026-02</v>
      </c>
    </row>
    <row r="293" spans="1:10" ht="14" x14ac:dyDescent="0.2">
      <c r="A293" s="10">
        <v>46070</v>
      </c>
      <c r="B293" s="10">
        <v>46073</v>
      </c>
      <c r="C293" s="7">
        <f>Table1[[#This Row],[Check-out Date]]-Table1[[#This Row],[Check-in Date]]</f>
        <v>3</v>
      </c>
      <c r="D293" s="7" t="s">
        <v>295</v>
      </c>
      <c r="E293" s="7" t="s">
        <v>969</v>
      </c>
      <c r="F293" s="14">
        <v>236.29</v>
      </c>
      <c r="G293" s="14">
        <f>Table1[[#This Row],[FULL AMOUNT usd]]*20</f>
        <v>4725.8</v>
      </c>
      <c r="H293" s="8">
        <f t="shared" si="8"/>
        <v>47.258000000000003</v>
      </c>
      <c r="I293" s="7" t="s">
        <v>785</v>
      </c>
      <c r="J293" s="24" t="str">
        <f t="shared" si="9"/>
        <v>2026-02</v>
      </c>
    </row>
    <row r="294" spans="1:10" ht="14" x14ac:dyDescent="0.2">
      <c r="A294" s="10">
        <v>46073</v>
      </c>
      <c r="B294" s="10">
        <v>46078</v>
      </c>
      <c r="C294" s="7">
        <f>Table1[[#This Row],[Check-out Date]]-Table1[[#This Row],[Check-in Date]]</f>
        <v>5</v>
      </c>
      <c r="D294" s="7" t="s">
        <v>295</v>
      </c>
      <c r="E294" s="7" t="s">
        <v>970</v>
      </c>
      <c r="F294" s="14">
        <v>358.42</v>
      </c>
      <c r="G294" s="14">
        <f>Table1[[#This Row],[FULL AMOUNT usd]]*20</f>
        <v>7168.4000000000005</v>
      </c>
      <c r="H294" s="8">
        <f t="shared" si="8"/>
        <v>71.684000000000012</v>
      </c>
      <c r="I294" s="7" t="s">
        <v>785</v>
      </c>
      <c r="J294" s="24" t="str">
        <f t="shared" si="9"/>
        <v>2026-02</v>
      </c>
    </row>
    <row r="295" spans="1:10" ht="14" x14ac:dyDescent="0.2">
      <c r="A295" s="10">
        <v>46082</v>
      </c>
      <c r="B295" s="10">
        <v>46084</v>
      </c>
      <c r="C295" s="7">
        <f>Table1[[#This Row],[Check-out Date]]-Table1[[#This Row],[Check-in Date]]</f>
        <v>2</v>
      </c>
      <c r="D295" s="7" t="s">
        <v>295</v>
      </c>
      <c r="E295" s="7" t="s">
        <v>971</v>
      </c>
      <c r="F295" s="14">
        <v>153</v>
      </c>
      <c r="G295" s="14">
        <f>Table1[[#This Row],[FULL AMOUNT usd]]*20</f>
        <v>3060</v>
      </c>
      <c r="H295" s="8">
        <f t="shared" si="8"/>
        <v>30.6</v>
      </c>
      <c r="I295" s="7" t="s">
        <v>785</v>
      </c>
      <c r="J295" s="24" t="str">
        <f t="shared" si="9"/>
        <v>2026-03</v>
      </c>
    </row>
    <row r="296" spans="1:10" ht="14" x14ac:dyDescent="0.2">
      <c r="A296" s="10">
        <v>46087</v>
      </c>
      <c r="B296" s="10">
        <v>46091</v>
      </c>
      <c r="C296" s="7">
        <f>Table1[[#This Row],[Check-out Date]]-Table1[[#This Row],[Check-in Date]]</f>
        <v>4</v>
      </c>
      <c r="D296" s="7" t="s">
        <v>295</v>
      </c>
      <c r="E296" s="7" t="s">
        <v>972</v>
      </c>
      <c r="F296" s="14">
        <v>390</v>
      </c>
      <c r="G296" s="14">
        <f>Table1[[#This Row],[FULL AMOUNT usd]]*20</f>
        <v>7800</v>
      </c>
      <c r="H296" s="8">
        <f t="shared" si="8"/>
        <v>78</v>
      </c>
      <c r="I296" s="7" t="s">
        <v>787</v>
      </c>
      <c r="J296" s="24" t="str">
        <f t="shared" si="9"/>
        <v>2026-03</v>
      </c>
    </row>
    <row r="297" spans="1:10" ht="14" x14ac:dyDescent="0.2">
      <c r="A297" s="10">
        <v>46095</v>
      </c>
      <c r="B297" s="10">
        <v>46101</v>
      </c>
      <c r="C297" s="7">
        <f>Table1[[#This Row],[Check-out Date]]-Table1[[#This Row],[Check-in Date]]</f>
        <v>6</v>
      </c>
      <c r="D297" s="7" t="s">
        <v>295</v>
      </c>
      <c r="E297" s="7" t="s">
        <v>973</v>
      </c>
      <c r="F297" s="14">
        <v>430</v>
      </c>
      <c r="G297" s="14">
        <f>Table1[[#This Row],[FULL AMOUNT usd]]*20</f>
        <v>8600</v>
      </c>
      <c r="H297" s="8">
        <f t="shared" si="8"/>
        <v>86</v>
      </c>
      <c r="I297" s="7" t="s">
        <v>785</v>
      </c>
      <c r="J297" s="24" t="str">
        <f t="shared" si="9"/>
        <v>2026-03</v>
      </c>
    </row>
    <row r="298" spans="1:10" ht="14" x14ac:dyDescent="0.2">
      <c r="A298" s="10">
        <v>46113</v>
      </c>
      <c r="B298" s="10">
        <v>46120</v>
      </c>
      <c r="C298" s="7">
        <f>Table1[[#This Row],[Check-out Date]]-Table1[[#This Row],[Check-in Date]]</f>
        <v>7</v>
      </c>
      <c r="D298" s="7" t="s">
        <v>295</v>
      </c>
      <c r="E298" s="7" t="s">
        <v>975</v>
      </c>
      <c r="F298" s="14">
        <v>1071</v>
      </c>
      <c r="G298" s="14">
        <f>Table1[[#This Row],[FULL AMOUNT usd]]*20</f>
        <v>21420</v>
      </c>
      <c r="H298" s="8">
        <f t="shared" si="8"/>
        <v>214.20000000000002</v>
      </c>
      <c r="I298" s="7" t="s">
        <v>974</v>
      </c>
      <c r="J298" s="24" t="str">
        <f t="shared" si="9"/>
        <v>2026-04</v>
      </c>
    </row>
    <row r="299" spans="1:10" ht="14" x14ac:dyDescent="0.2">
      <c r="A299" s="10">
        <v>46118</v>
      </c>
      <c r="B299" s="10">
        <v>46122</v>
      </c>
      <c r="C299" s="7">
        <f>Table1[[#This Row],[Check-out Date]]-Table1[[#This Row],[Check-in Date]]</f>
        <v>4</v>
      </c>
      <c r="D299" s="7" t="s">
        <v>295</v>
      </c>
      <c r="E299" s="7" t="s">
        <v>977</v>
      </c>
      <c r="F299" s="14">
        <v>383</v>
      </c>
      <c r="G299" s="14">
        <f>Table1[[#This Row],[FULL AMOUNT usd]]*20</f>
        <v>7660</v>
      </c>
      <c r="H299" s="8">
        <f t="shared" si="8"/>
        <v>76.600000000000009</v>
      </c>
      <c r="I299" s="7" t="s">
        <v>785</v>
      </c>
      <c r="J299" s="24" t="str">
        <f t="shared" si="9"/>
        <v>2026-04</v>
      </c>
    </row>
    <row r="300" spans="1:10" ht="14" x14ac:dyDescent="0.2">
      <c r="A300" s="10">
        <v>46122</v>
      </c>
      <c r="B300" s="10">
        <v>46124</v>
      </c>
      <c r="C300" s="7">
        <f>Table1[[#This Row],[Check-out Date]]-Table1[[#This Row],[Check-in Date]]</f>
        <v>2</v>
      </c>
      <c r="D300" s="7" t="s">
        <v>295</v>
      </c>
      <c r="E300" s="7" t="s">
        <v>978</v>
      </c>
      <c r="F300" s="14">
        <v>160</v>
      </c>
      <c r="G300" s="14">
        <f>Table1[[#This Row],[FULL AMOUNT usd]]*20</f>
        <v>3200</v>
      </c>
      <c r="H300" s="8">
        <f t="shared" si="8"/>
        <v>32</v>
      </c>
      <c r="I300" s="7" t="s">
        <v>785</v>
      </c>
      <c r="J300" s="24" t="str">
        <f t="shared" si="9"/>
        <v>2026-04</v>
      </c>
    </row>
    <row r="301" spans="1:10" ht="14" x14ac:dyDescent="0.2">
      <c r="A301" s="10">
        <v>46136</v>
      </c>
      <c r="B301" s="10">
        <v>46139</v>
      </c>
      <c r="C301" s="7">
        <f>Table1[[#This Row],[Check-out Date]]-Table1[[#This Row],[Check-in Date]]</f>
        <v>3</v>
      </c>
      <c r="D301" s="7" t="s">
        <v>295</v>
      </c>
      <c r="E301" s="7" t="s">
        <v>979</v>
      </c>
      <c r="F301" s="14">
        <v>280</v>
      </c>
      <c r="G301" s="14">
        <f>Table1[[#This Row],[FULL AMOUNT usd]]*20</f>
        <v>5600</v>
      </c>
      <c r="H301" s="8">
        <f t="shared" si="8"/>
        <v>56</v>
      </c>
      <c r="I301" s="7" t="s">
        <v>810</v>
      </c>
      <c r="J301" s="24" t="str">
        <f t="shared" si="9"/>
        <v>2026-04</v>
      </c>
    </row>
    <row r="302" spans="1:10" ht="14" x14ac:dyDescent="0.2">
      <c r="A302" s="10">
        <v>46138</v>
      </c>
      <c r="B302" s="10">
        <v>46141</v>
      </c>
      <c r="C302" s="7">
        <f>Table1[[#This Row],[Check-out Date]]-Table1[[#This Row],[Check-in Date]]</f>
        <v>3</v>
      </c>
      <c r="D302" s="7" t="s">
        <v>295</v>
      </c>
      <c r="E302" s="7" t="s">
        <v>976</v>
      </c>
      <c r="F302" s="14">
        <v>325</v>
      </c>
      <c r="G302" s="14">
        <f>Table1[[#This Row],[FULL AMOUNT usd]]*20</f>
        <v>6500</v>
      </c>
      <c r="H302" s="8">
        <f t="shared" si="8"/>
        <v>65</v>
      </c>
      <c r="I302" s="7" t="s">
        <v>785</v>
      </c>
      <c r="J302" s="24" t="str">
        <f t="shared" si="9"/>
        <v>2026-04</v>
      </c>
    </row>
    <row r="303" spans="1:10" ht="14" x14ac:dyDescent="0.2">
      <c r="A303" s="10">
        <v>46144</v>
      </c>
      <c r="B303" s="10">
        <v>46146</v>
      </c>
      <c r="C303" s="7">
        <f>Table1[[#This Row],[Check-out Date]]-Table1[[#This Row],[Check-in Date]]</f>
        <v>2</v>
      </c>
      <c r="D303" s="7" t="s">
        <v>295</v>
      </c>
      <c r="E303" s="7" t="s">
        <v>980</v>
      </c>
      <c r="F303" s="14">
        <v>190</v>
      </c>
      <c r="G303" s="14">
        <f>Table1[[#This Row],[FULL AMOUNT usd]]*20</f>
        <v>3800</v>
      </c>
      <c r="H303" s="8">
        <f t="shared" si="8"/>
        <v>38</v>
      </c>
      <c r="I303" s="7" t="s">
        <v>974</v>
      </c>
      <c r="J303" s="24" t="str">
        <f t="shared" si="9"/>
        <v>2026-05</v>
      </c>
    </row>
    <row r="688" spans="5:5" x14ac:dyDescent="0.15">
      <c r="E688" s="7" t="str">
        <f>IF(OR(C688="A302", C688="B303", C688="C301"), "Direct", "Shared")</f>
        <v>Shared</v>
      </c>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00CD-1259-5645-98B8-3C4A73A7DCBB}">
  <dimension ref="A1:F1563"/>
  <sheetViews>
    <sheetView zoomScale="110" zoomScaleNormal="110" workbookViewId="0">
      <pane ySplit="1" topLeftCell="A1306" activePane="bottomLeft" state="frozen"/>
      <selection pane="bottomLeft" activeCell="I1321" sqref="I1321"/>
    </sheetView>
  </sheetViews>
  <sheetFormatPr baseColWidth="10" defaultRowHeight="16" x14ac:dyDescent="0.2"/>
  <cols>
    <col min="1" max="1" width="12.1640625" customWidth="1"/>
    <col min="2" max="2" width="56.83203125" customWidth="1"/>
    <col min="3" max="3" width="11" customWidth="1"/>
    <col min="4" max="4" width="11.1640625" style="5" customWidth="1"/>
    <col min="6" max="6" width="10.83203125" style="13"/>
  </cols>
  <sheetData>
    <row r="1" spans="1:6" s="21" customFormat="1" x14ac:dyDescent="0.2">
      <c r="A1" s="19" t="s">
        <v>0</v>
      </c>
      <c r="B1" s="19" t="s">
        <v>1</v>
      </c>
      <c r="C1" s="19" t="s">
        <v>1156</v>
      </c>
      <c r="D1" s="20" t="s">
        <v>2</v>
      </c>
      <c r="E1" s="19" t="s">
        <v>1082</v>
      </c>
      <c r="F1" s="27" t="s">
        <v>1141</v>
      </c>
    </row>
    <row r="2" spans="1:6" x14ac:dyDescent="0.2">
      <c r="A2" s="2">
        <v>44576</v>
      </c>
      <c r="B2" s="1" t="s">
        <v>686</v>
      </c>
      <c r="C2" t="s">
        <v>296</v>
      </c>
      <c r="D2" s="4">
        <v>1658.98</v>
      </c>
      <c r="E2" t="str">
        <f>IF(OR(C2="A302", C2="B303", C2="C301"), "Direct", "Shared")</f>
        <v>Direct</v>
      </c>
      <c r="F2" s="13" t="str">
        <f t="shared" ref="F2:F65" si="0">YEAR(A2)&amp;"-"&amp;TEXT(MONTH(A2),"00")</f>
        <v>2022-01</v>
      </c>
    </row>
    <row r="3" spans="1:6" x14ac:dyDescent="0.2">
      <c r="A3" s="2">
        <v>44576</v>
      </c>
      <c r="B3" s="1" t="s">
        <v>687</v>
      </c>
      <c r="C3" t="s">
        <v>296</v>
      </c>
      <c r="D3" s="4">
        <v>600</v>
      </c>
      <c r="E3" t="str">
        <f t="shared" ref="E3:E66" si="1">IF(OR(C3="A302", C3="B303", C3="C301"), "Direct", "Shared")</f>
        <v>Direct</v>
      </c>
      <c r="F3" s="13" t="str">
        <f t="shared" si="0"/>
        <v>2022-01</v>
      </c>
    </row>
    <row r="4" spans="1:6" x14ac:dyDescent="0.2">
      <c r="A4" s="2">
        <v>44576</v>
      </c>
      <c r="B4" s="1" t="s">
        <v>688</v>
      </c>
      <c r="C4" t="s">
        <v>296</v>
      </c>
      <c r="D4" s="4">
        <v>450</v>
      </c>
      <c r="E4" t="str">
        <f t="shared" si="1"/>
        <v>Direct</v>
      </c>
      <c r="F4" s="13" t="str">
        <f t="shared" si="0"/>
        <v>2022-01</v>
      </c>
    </row>
    <row r="5" spans="1:6" x14ac:dyDescent="0.2">
      <c r="A5" s="2">
        <v>44576</v>
      </c>
      <c r="B5" s="1" t="s">
        <v>689</v>
      </c>
      <c r="C5" t="s">
        <v>296</v>
      </c>
      <c r="D5" s="4">
        <v>1200</v>
      </c>
      <c r="E5" t="str">
        <f t="shared" si="1"/>
        <v>Direct</v>
      </c>
      <c r="F5" s="13" t="str">
        <f t="shared" si="0"/>
        <v>2022-01</v>
      </c>
    </row>
    <row r="6" spans="1:6" x14ac:dyDescent="0.2">
      <c r="A6" s="2">
        <v>44576</v>
      </c>
      <c r="B6" s="1" t="s">
        <v>690</v>
      </c>
      <c r="C6" t="s">
        <v>296</v>
      </c>
      <c r="D6" s="4">
        <v>500</v>
      </c>
      <c r="E6" t="str">
        <f t="shared" si="1"/>
        <v>Direct</v>
      </c>
      <c r="F6" s="13" t="str">
        <f t="shared" si="0"/>
        <v>2022-01</v>
      </c>
    </row>
    <row r="7" spans="1:6" x14ac:dyDescent="0.2">
      <c r="A7" s="2">
        <v>44576</v>
      </c>
      <c r="B7" s="1" t="s">
        <v>691</v>
      </c>
      <c r="C7" t="s">
        <v>296</v>
      </c>
      <c r="D7" s="4">
        <v>5000</v>
      </c>
      <c r="E7" t="str">
        <f t="shared" si="1"/>
        <v>Direct</v>
      </c>
      <c r="F7" s="13" t="str">
        <f t="shared" si="0"/>
        <v>2022-01</v>
      </c>
    </row>
    <row r="8" spans="1:6" x14ac:dyDescent="0.2">
      <c r="A8" s="2">
        <v>44576</v>
      </c>
      <c r="B8" s="1" t="s">
        <v>692</v>
      </c>
      <c r="C8" t="s">
        <v>994</v>
      </c>
      <c r="D8" s="4">
        <v>1870</v>
      </c>
      <c r="E8" t="str">
        <f t="shared" si="1"/>
        <v>Shared</v>
      </c>
      <c r="F8" s="13" t="str">
        <f t="shared" si="0"/>
        <v>2022-01</v>
      </c>
    </row>
    <row r="9" spans="1:6" x14ac:dyDescent="0.2">
      <c r="A9" s="2">
        <v>44576</v>
      </c>
      <c r="B9" s="1" t="s">
        <v>693</v>
      </c>
      <c r="C9" t="s">
        <v>296</v>
      </c>
      <c r="D9" s="4">
        <v>600</v>
      </c>
      <c r="E9" t="str">
        <f t="shared" si="1"/>
        <v>Direct</v>
      </c>
      <c r="F9" s="13" t="str">
        <f t="shared" si="0"/>
        <v>2022-01</v>
      </c>
    </row>
    <row r="10" spans="1:6" x14ac:dyDescent="0.2">
      <c r="A10" s="2">
        <v>44579</v>
      </c>
      <c r="B10" s="1" t="s">
        <v>694</v>
      </c>
      <c r="C10" t="s">
        <v>994</v>
      </c>
      <c r="D10" s="4">
        <v>18</v>
      </c>
      <c r="E10" t="str">
        <f t="shared" si="1"/>
        <v>Shared</v>
      </c>
      <c r="F10" s="13" t="str">
        <f t="shared" si="0"/>
        <v>2022-01</v>
      </c>
    </row>
    <row r="11" spans="1:6" x14ac:dyDescent="0.2">
      <c r="A11" s="2">
        <v>44581</v>
      </c>
      <c r="B11" s="1" t="s">
        <v>695</v>
      </c>
      <c r="C11" t="s">
        <v>296</v>
      </c>
      <c r="D11" s="4">
        <v>1400</v>
      </c>
      <c r="E11" t="str">
        <f t="shared" si="1"/>
        <v>Direct</v>
      </c>
      <c r="F11" s="13" t="str">
        <f t="shared" si="0"/>
        <v>2022-01</v>
      </c>
    </row>
    <row r="12" spans="1:6" x14ac:dyDescent="0.2">
      <c r="A12" s="2">
        <v>44581</v>
      </c>
      <c r="B12" s="1" t="s">
        <v>696</v>
      </c>
      <c r="C12" t="s">
        <v>296</v>
      </c>
      <c r="D12" s="4">
        <v>2800</v>
      </c>
      <c r="E12" t="str">
        <f t="shared" si="1"/>
        <v>Direct</v>
      </c>
      <c r="F12" s="13" t="str">
        <f t="shared" si="0"/>
        <v>2022-01</v>
      </c>
    </row>
    <row r="13" spans="1:6" x14ac:dyDescent="0.2">
      <c r="A13" s="2">
        <v>44581</v>
      </c>
      <c r="B13" s="1" t="s">
        <v>697</v>
      </c>
      <c r="C13" t="s">
        <v>296</v>
      </c>
      <c r="D13" s="4">
        <v>3800</v>
      </c>
      <c r="E13" t="str">
        <f t="shared" si="1"/>
        <v>Direct</v>
      </c>
      <c r="F13" s="13" t="str">
        <f t="shared" si="0"/>
        <v>2022-01</v>
      </c>
    </row>
    <row r="14" spans="1:6" x14ac:dyDescent="0.2">
      <c r="A14" s="2">
        <v>44581</v>
      </c>
      <c r="B14" s="1" t="s">
        <v>698</v>
      </c>
      <c r="C14" t="s">
        <v>296</v>
      </c>
      <c r="D14" s="4">
        <v>836.98</v>
      </c>
      <c r="E14" t="str">
        <f t="shared" si="1"/>
        <v>Direct</v>
      </c>
      <c r="F14" s="13" t="str">
        <f t="shared" si="0"/>
        <v>2022-01</v>
      </c>
    </row>
    <row r="15" spans="1:6" x14ac:dyDescent="0.2">
      <c r="A15" s="2">
        <v>44581</v>
      </c>
      <c r="B15" s="1" t="s">
        <v>699</v>
      </c>
      <c r="C15" t="s">
        <v>296</v>
      </c>
      <c r="D15" s="4">
        <v>3000</v>
      </c>
      <c r="E15" t="str">
        <f t="shared" si="1"/>
        <v>Direct</v>
      </c>
      <c r="F15" s="13" t="str">
        <f t="shared" si="0"/>
        <v>2022-01</v>
      </c>
    </row>
    <row r="16" spans="1:6" x14ac:dyDescent="0.2">
      <c r="A16" s="2">
        <v>44581</v>
      </c>
      <c r="B16" s="1" t="s">
        <v>700</v>
      </c>
      <c r="C16" t="s">
        <v>994</v>
      </c>
      <c r="D16" s="4">
        <v>300</v>
      </c>
      <c r="E16" t="str">
        <f t="shared" si="1"/>
        <v>Shared</v>
      </c>
      <c r="F16" s="13" t="str">
        <f t="shared" si="0"/>
        <v>2022-01</v>
      </c>
    </row>
    <row r="17" spans="1:6" x14ac:dyDescent="0.2">
      <c r="A17" s="2">
        <v>44583</v>
      </c>
      <c r="B17" s="1" t="s">
        <v>706</v>
      </c>
      <c r="C17" t="s">
        <v>296</v>
      </c>
      <c r="D17" s="4">
        <v>10800</v>
      </c>
      <c r="E17" t="str">
        <f t="shared" si="1"/>
        <v>Direct</v>
      </c>
      <c r="F17" s="13" t="str">
        <f t="shared" si="0"/>
        <v>2022-01</v>
      </c>
    </row>
    <row r="18" spans="1:6" x14ac:dyDescent="0.2">
      <c r="A18" s="2">
        <v>44583</v>
      </c>
      <c r="B18" s="1" t="s">
        <v>731</v>
      </c>
      <c r="C18" t="s">
        <v>994</v>
      </c>
      <c r="D18" s="4">
        <v>2000</v>
      </c>
      <c r="E18" t="str">
        <f t="shared" si="1"/>
        <v>Shared</v>
      </c>
      <c r="F18" s="13" t="str">
        <f t="shared" si="0"/>
        <v>2022-01</v>
      </c>
    </row>
    <row r="19" spans="1:6" x14ac:dyDescent="0.2">
      <c r="A19" s="2">
        <v>44583</v>
      </c>
      <c r="B19" s="1" t="s">
        <v>730</v>
      </c>
      <c r="C19" t="s">
        <v>994</v>
      </c>
      <c r="D19" s="4">
        <v>1000</v>
      </c>
      <c r="E19" t="str">
        <f t="shared" si="1"/>
        <v>Shared</v>
      </c>
      <c r="F19" s="13" t="str">
        <f t="shared" si="0"/>
        <v>2022-01</v>
      </c>
    </row>
    <row r="20" spans="1:6" x14ac:dyDescent="0.2">
      <c r="A20" s="2">
        <v>44583</v>
      </c>
      <c r="B20" s="1" t="s">
        <v>707</v>
      </c>
      <c r="C20" t="s">
        <v>296</v>
      </c>
      <c r="D20" s="4">
        <v>1500</v>
      </c>
      <c r="E20" t="str">
        <f t="shared" si="1"/>
        <v>Direct</v>
      </c>
      <c r="F20" s="13" t="str">
        <f t="shared" si="0"/>
        <v>2022-01</v>
      </c>
    </row>
    <row r="21" spans="1:6" x14ac:dyDescent="0.2">
      <c r="A21" s="2">
        <v>44583</v>
      </c>
      <c r="B21" s="1" t="s">
        <v>708</v>
      </c>
      <c r="C21" t="s">
        <v>296</v>
      </c>
      <c r="D21" s="4">
        <v>1500</v>
      </c>
      <c r="E21" t="str">
        <f t="shared" si="1"/>
        <v>Direct</v>
      </c>
      <c r="F21" s="13" t="str">
        <f t="shared" si="0"/>
        <v>2022-01</v>
      </c>
    </row>
    <row r="22" spans="1:6" x14ac:dyDescent="0.2">
      <c r="A22" s="2">
        <v>44587</v>
      </c>
      <c r="B22" s="1" t="s">
        <v>701</v>
      </c>
      <c r="C22" t="s">
        <v>295</v>
      </c>
      <c r="D22" s="4">
        <v>3464.76</v>
      </c>
      <c r="E22" t="str">
        <f t="shared" si="1"/>
        <v>Direct</v>
      </c>
      <c r="F22" s="13" t="str">
        <f t="shared" si="0"/>
        <v>2022-01</v>
      </c>
    </row>
    <row r="23" spans="1:6" x14ac:dyDescent="0.2">
      <c r="A23" s="2">
        <v>44587</v>
      </c>
      <c r="B23" s="1" t="s">
        <v>701</v>
      </c>
      <c r="C23" t="s">
        <v>296</v>
      </c>
      <c r="D23" s="4">
        <v>3464.76</v>
      </c>
      <c r="E23" t="str">
        <f t="shared" si="1"/>
        <v>Direct</v>
      </c>
      <c r="F23" s="13" t="str">
        <f t="shared" si="0"/>
        <v>2022-01</v>
      </c>
    </row>
    <row r="24" spans="1:6" x14ac:dyDescent="0.2">
      <c r="A24" s="2">
        <v>44594</v>
      </c>
      <c r="B24" s="1" t="s">
        <v>691</v>
      </c>
      <c r="C24" t="s">
        <v>295</v>
      </c>
      <c r="D24" s="4">
        <v>5000</v>
      </c>
      <c r="E24" t="str">
        <f t="shared" si="1"/>
        <v>Direct</v>
      </c>
      <c r="F24" s="13" t="str">
        <f t="shared" si="0"/>
        <v>2022-02</v>
      </c>
    </row>
    <row r="25" spans="1:6" x14ac:dyDescent="0.2">
      <c r="A25" s="2">
        <v>44604</v>
      </c>
      <c r="B25" s="1" t="s">
        <v>729</v>
      </c>
      <c r="C25" t="s">
        <v>295</v>
      </c>
      <c r="D25" s="4">
        <v>1500</v>
      </c>
      <c r="E25" t="str">
        <f t="shared" si="1"/>
        <v>Direct</v>
      </c>
      <c r="F25" s="13" t="str">
        <f t="shared" si="0"/>
        <v>2022-02</v>
      </c>
    </row>
    <row r="26" spans="1:6" x14ac:dyDescent="0.2">
      <c r="A26" s="2">
        <v>44604</v>
      </c>
      <c r="B26" s="1" t="s">
        <v>702</v>
      </c>
      <c r="C26" t="s">
        <v>296</v>
      </c>
      <c r="D26" s="4">
        <v>2000</v>
      </c>
      <c r="E26" t="str">
        <f t="shared" si="1"/>
        <v>Direct</v>
      </c>
      <c r="F26" s="13" t="str">
        <f t="shared" si="0"/>
        <v>2022-02</v>
      </c>
    </row>
    <row r="27" spans="1:6" x14ac:dyDescent="0.2">
      <c r="A27" s="2">
        <v>44607</v>
      </c>
      <c r="B27" s="1" t="s">
        <v>703</v>
      </c>
      <c r="C27" t="s">
        <v>296</v>
      </c>
      <c r="D27" s="4">
        <v>14300</v>
      </c>
      <c r="E27" t="str">
        <f t="shared" si="1"/>
        <v>Direct</v>
      </c>
      <c r="F27" s="13" t="str">
        <f t="shared" si="0"/>
        <v>2022-02</v>
      </c>
    </row>
    <row r="28" spans="1:6" x14ac:dyDescent="0.2">
      <c r="A28" s="2">
        <v>44607</v>
      </c>
      <c r="B28" s="1" t="s">
        <v>704</v>
      </c>
      <c r="C28" t="s">
        <v>296</v>
      </c>
      <c r="D28" s="4">
        <v>6650</v>
      </c>
      <c r="E28" t="str">
        <f t="shared" si="1"/>
        <v>Direct</v>
      </c>
      <c r="F28" s="13" t="str">
        <f t="shared" si="0"/>
        <v>2022-02</v>
      </c>
    </row>
    <row r="29" spans="1:6" x14ac:dyDescent="0.2">
      <c r="A29" s="2">
        <v>44607</v>
      </c>
      <c r="B29" s="1" t="s">
        <v>705</v>
      </c>
      <c r="C29" t="s">
        <v>296</v>
      </c>
      <c r="D29" s="4">
        <v>3357</v>
      </c>
      <c r="E29" t="str">
        <f t="shared" si="1"/>
        <v>Direct</v>
      </c>
      <c r="F29" s="13" t="str">
        <f t="shared" si="0"/>
        <v>2022-02</v>
      </c>
    </row>
    <row r="30" spans="1:6" x14ac:dyDescent="0.2">
      <c r="A30" s="2">
        <v>44620</v>
      </c>
      <c r="B30" s="1" t="s">
        <v>732</v>
      </c>
      <c r="C30" t="s">
        <v>295</v>
      </c>
      <c r="D30" s="4">
        <v>1300</v>
      </c>
      <c r="E30" t="str">
        <f t="shared" si="1"/>
        <v>Direct</v>
      </c>
      <c r="F30" s="13" t="str">
        <f t="shared" si="0"/>
        <v>2022-02</v>
      </c>
    </row>
    <row r="31" spans="1:6" x14ac:dyDescent="0.2">
      <c r="A31" s="2">
        <v>44620</v>
      </c>
      <c r="B31" s="1" t="s">
        <v>311</v>
      </c>
      <c r="C31" t="s">
        <v>295</v>
      </c>
      <c r="D31" s="4">
        <v>800</v>
      </c>
      <c r="E31" t="str">
        <f t="shared" si="1"/>
        <v>Direct</v>
      </c>
      <c r="F31" s="13" t="str">
        <f t="shared" si="0"/>
        <v>2022-02</v>
      </c>
    </row>
    <row r="32" spans="1:6" x14ac:dyDescent="0.2">
      <c r="A32" s="2">
        <v>44620</v>
      </c>
      <c r="B32" s="1" t="s">
        <v>733</v>
      </c>
      <c r="C32" t="s">
        <v>295</v>
      </c>
      <c r="D32" s="4">
        <v>960</v>
      </c>
      <c r="E32" t="str">
        <f t="shared" si="1"/>
        <v>Direct</v>
      </c>
      <c r="F32" s="13" t="str">
        <f t="shared" si="0"/>
        <v>2022-02</v>
      </c>
    </row>
    <row r="33" spans="1:6" x14ac:dyDescent="0.2">
      <c r="A33" s="2">
        <v>44620</v>
      </c>
      <c r="B33" s="1" t="s">
        <v>734</v>
      </c>
      <c r="C33" t="s">
        <v>994</v>
      </c>
      <c r="D33" s="4">
        <v>1240</v>
      </c>
      <c r="E33" t="str">
        <f t="shared" si="1"/>
        <v>Shared</v>
      </c>
      <c r="F33" s="13" t="str">
        <f t="shared" si="0"/>
        <v>2022-02</v>
      </c>
    </row>
    <row r="34" spans="1:6" x14ac:dyDescent="0.2">
      <c r="A34" s="2">
        <v>44622</v>
      </c>
      <c r="B34" s="1" t="s">
        <v>735</v>
      </c>
      <c r="C34" t="s">
        <v>296</v>
      </c>
      <c r="D34" s="4">
        <v>3000</v>
      </c>
      <c r="E34" t="str">
        <f t="shared" si="1"/>
        <v>Direct</v>
      </c>
      <c r="F34" s="13" t="str">
        <f t="shared" si="0"/>
        <v>2022-03</v>
      </c>
    </row>
    <row r="35" spans="1:6" x14ac:dyDescent="0.2">
      <c r="A35" s="2">
        <v>44622</v>
      </c>
      <c r="B35" s="1" t="s">
        <v>736</v>
      </c>
      <c r="C35" t="s">
        <v>296</v>
      </c>
      <c r="D35" s="4">
        <v>7800</v>
      </c>
      <c r="E35" t="str">
        <f t="shared" si="1"/>
        <v>Direct</v>
      </c>
      <c r="F35" s="13" t="str">
        <f t="shared" si="0"/>
        <v>2022-03</v>
      </c>
    </row>
    <row r="36" spans="1:6" x14ac:dyDescent="0.2">
      <c r="A36" s="2">
        <v>44622</v>
      </c>
      <c r="B36" s="1" t="s">
        <v>995</v>
      </c>
      <c r="C36" t="s">
        <v>296</v>
      </c>
      <c r="D36" s="4">
        <v>700</v>
      </c>
      <c r="E36" t="str">
        <f t="shared" si="1"/>
        <v>Direct</v>
      </c>
      <c r="F36" s="13" t="str">
        <f t="shared" si="0"/>
        <v>2022-03</v>
      </c>
    </row>
    <row r="37" spans="1:6" x14ac:dyDescent="0.2">
      <c r="A37" s="2">
        <v>44623</v>
      </c>
      <c r="B37" s="1" t="s">
        <v>709</v>
      </c>
      <c r="C37" t="s">
        <v>994</v>
      </c>
      <c r="D37" s="4">
        <v>1400</v>
      </c>
      <c r="E37" t="str">
        <f t="shared" si="1"/>
        <v>Shared</v>
      </c>
      <c r="F37" s="13" t="str">
        <f t="shared" si="0"/>
        <v>2022-03</v>
      </c>
    </row>
    <row r="38" spans="1:6" x14ac:dyDescent="0.2">
      <c r="A38" s="2">
        <v>44623</v>
      </c>
      <c r="B38" s="1" t="s">
        <v>710</v>
      </c>
      <c r="C38" t="s">
        <v>994</v>
      </c>
      <c r="D38" s="4">
        <v>768</v>
      </c>
      <c r="E38" t="str">
        <f t="shared" si="1"/>
        <v>Shared</v>
      </c>
      <c r="F38" s="13" t="str">
        <f t="shared" si="0"/>
        <v>2022-03</v>
      </c>
    </row>
    <row r="39" spans="1:6" x14ac:dyDescent="0.2">
      <c r="A39" s="2">
        <v>44623</v>
      </c>
      <c r="B39" s="1" t="s">
        <v>737</v>
      </c>
      <c r="C39" t="s">
        <v>296</v>
      </c>
      <c r="D39" s="4">
        <v>862.75</v>
      </c>
      <c r="E39" t="str">
        <f t="shared" si="1"/>
        <v>Direct</v>
      </c>
      <c r="F39" s="13" t="str">
        <f t="shared" si="0"/>
        <v>2022-03</v>
      </c>
    </row>
    <row r="40" spans="1:6" x14ac:dyDescent="0.2">
      <c r="A40" s="2">
        <v>44623</v>
      </c>
      <c r="B40" s="1" t="s">
        <v>738</v>
      </c>
      <c r="C40" t="s">
        <v>296</v>
      </c>
      <c r="D40" s="4">
        <v>400</v>
      </c>
      <c r="E40" t="str">
        <f t="shared" si="1"/>
        <v>Direct</v>
      </c>
      <c r="F40" s="13" t="str">
        <f t="shared" si="0"/>
        <v>2022-03</v>
      </c>
    </row>
    <row r="41" spans="1:6" x14ac:dyDescent="0.2">
      <c r="A41" s="2">
        <v>44623</v>
      </c>
      <c r="B41" s="1" t="s">
        <v>711</v>
      </c>
      <c r="C41" t="s">
        <v>994</v>
      </c>
      <c r="D41" s="4">
        <v>781</v>
      </c>
      <c r="E41" t="str">
        <f t="shared" si="1"/>
        <v>Shared</v>
      </c>
      <c r="F41" s="13" t="str">
        <f t="shared" si="0"/>
        <v>2022-03</v>
      </c>
    </row>
    <row r="42" spans="1:6" x14ac:dyDescent="0.2">
      <c r="A42" s="2">
        <v>44623</v>
      </c>
      <c r="B42" s="1" t="s">
        <v>739</v>
      </c>
      <c r="C42" t="s">
        <v>296</v>
      </c>
      <c r="D42" s="4">
        <v>413</v>
      </c>
      <c r="E42" t="str">
        <f t="shared" si="1"/>
        <v>Direct</v>
      </c>
      <c r="F42" s="13" t="str">
        <f t="shared" si="0"/>
        <v>2022-03</v>
      </c>
    </row>
    <row r="43" spans="1:6" x14ac:dyDescent="0.2">
      <c r="A43" s="2">
        <v>44623</v>
      </c>
      <c r="B43" s="1" t="s">
        <v>712</v>
      </c>
      <c r="C43" t="s">
        <v>994</v>
      </c>
      <c r="D43" s="4">
        <v>500</v>
      </c>
      <c r="E43" t="str">
        <f t="shared" si="1"/>
        <v>Shared</v>
      </c>
      <c r="F43" s="13" t="str">
        <f t="shared" si="0"/>
        <v>2022-03</v>
      </c>
    </row>
    <row r="44" spans="1:6" x14ac:dyDescent="0.2">
      <c r="A44" s="2">
        <v>44626</v>
      </c>
      <c r="B44" s="1" t="s">
        <v>298</v>
      </c>
      <c r="C44" t="s">
        <v>296</v>
      </c>
      <c r="D44" s="4">
        <v>800</v>
      </c>
      <c r="E44" t="str">
        <f t="shared" si="1"/>
        <v>Direct</v>
      </c>
      <c r="F44" s="13" t="str">
        <f t="shared" si="0"/>
        <v>2022-03</v>
      </c>
    </row>
    <row r="45" spans="1:6" x14ac:dyDescent="0.2">
      <c r="A45" s="2">
        <v>44629</v>
      </c>
      <c r="B45" s="1" t="s">
        <v>9</v>
      </c>
      <c r="C45" t="s">
        <v>296</v>
      </c>
      <c r="D45" s="4">
        <v>126</v>
      </c>
      <c r="E45" t="str">
        <f t="shared" si="1"/>
        <v>Direct</v>
      </c>
      <c r="F45" s="13" t="str">
        <f t="shared" si="0"/>
        <v>2022-03</v>
      </c>
    </row>
    <row r="46" spans="1:6" x14ac:dyDescent="0.2">
      <c r="A46" s="2">
        <v>44630</v>
      </c>
      <c r="B46" s="1" t="s">
        <v>713</v>
      </c>
      <c r="C46" t="s">
        <v>994</v>
      </c>
      <c r="D46" s="4">
        <v>1000</v>
      </c>
      <c r="E46" t="str">
        <f t="shared" si="1"/>
        <v>Shared</v>
      </c>
      <c r="F46" s="13" t="str">
        <f t="shared" si="0"/>
        <v>2022-03</v>
      </c>
    </row>
    <row r="47" spans="1:6" x14ac:dyDescent="0.2">
      <c r="A47" s="2">
        <v>44630</v>
      </c>
      <c r="B47" s="1" t="s">
        <v>741</v>
      </c>
      <c r="C47" t="s">
        <v>295</v>
      </c>
      <c r="D47" s="4">
        <v>800</v>
      </c>
      <c r="E47" t="str">
        <f t="shared" si="1"/>
        <v>Direct</v>
      </c>
      <c r="F47" s="13" t="str">
        <f t="shared" si="0"/>
        <v>2022-03</v>
      </c>
    </row>
    <row r="48" spans="1:6" x14ac:dyDescent="0.2">
      <c r="A48" s="2">
        <v>44630</v>
      </c>
      <c r="B48" s="1" t="s">
        <v>740</v>
      </c>
      <c r="C48" t="s">
        <v>295</v>
      </c>
      <c r="D48" s="4">
        <v>159</v>
      </c>
      <c r="E48" t="str">
        <f t="shared" si="1"/>
        <v>Direct</v>
      </c>
      <c r="F48" s="13" t="str">
        <f t="shared" si="0"/>
        <v>2022-03</v>
      </c>
    </row>
    <row r="49" spans="1:6" x14ac:dyDescent="0.2">
      <c r="A49" s="2">
        <v>44630</v>
      </c>
      <c r="B49" s="1" t="s">
        <v>714</v>
      </c>
      <c r="C49" t="s">
        <v>994</v>
      </c>
      <c r="D49" s="4">
        <v>286</v>
      </c>
      <c r="E49" t="str">
        <f t="shared" si="1"/>
        <v>Shared</v>
      </c>
      <c r="F49" s="13" t="str">
        <f t="shared" si="0"/>
        <v>2022-03</v>
      </c>
    </row>
    <row r="50" spans="1:6" x14ac:dyDescent="0.2">
      <c r="A50" s="2">
        <v>44642</v>
      </c>
      <c r="B50" s="1" t="s">
        <v>5</v>
      </c>
      <c r="C50" t="s">
        <v>994</v>
      </c>
      <c r="D50" s="4">
        <v>481</v>
      </c>
      <c r="E50" t="str">
        <f t="shared" si="1"/>
        <v>Shared</v>
      </c>
      <c r="F50" s="13" t="str">
        <f t="shared" si="0"/>
        <v>2022-03</v>
      </c>
    </row>
    <row r="51" spans="1:6" x14ac:dyDescent="0.2">
      <c r="A51" s="2">
        <v>44642</v>
      </c>
      <c r="B51" s="1" t="s">
        <v>742</v>
      </c>
      <c r="C51" t="s">
        <v>296</v>
      </c>
      <c r="D51" s="4">
        <v>600</v>
      </c>
      <c r="E51" t="str">
        <f t="shared" si="1"/>
        <v>Direct</v>
      </c>
      <c r="F51" s="13" t="str">
        <f t="shared" si="0"/>
        <v>2022-03</v>
      </c>
    </row>
    <row r="52" spans="1:6" x14ac:dyDescent="0.2">
      <c r="A52" s="2">
        <v>44642</v>
      </c>
      <c r="B52" s="1" t="s">
        <v>91</v>
      </c>
      <c r="C52" t="s">
        <v>994</v>
      </c>
      <c r="D52" s="4">
        <v>260</v>
      </c>
      <c r="E52" t="str">
        <f t="shared" si="1"/>
        <v>Shared</v>
      </c>
      <c r="F52" s="13" t="str">
        <f t="shared" si="0"/>
        <v>2022-03</v>
      </c>
    </row>
    <row r="53" spans="1:6" x14ac:dyDescent="0.2">
      <c r="A53" s="2">
        <v>44642</v>
      </c>
      <c r="B53" s="1" t="s">
        <v>49</v>
      </c>
      <c r="C53" t="s">
        <v>994</v>
      </c>
      <c r="D53" s="4">
        <v>207</v>
      </c>
      <c r="E53" t="str">
        <f t="shared" si="1"/>
        <v>Shared</v>
      </c>
      <c r="F53" s="13" t="str">
        <f t="shared" si="0"/>
        <v>2022-03</v>
      </c>
    </row>
    <row r="54" spans="1:6" x14ac:dyDescent="0.2">
      <c r="A54" s="2">
        <v>44642</v>
      </c>
      <c r="B54" s="1" t="s">
        <v>715</v>
      </c>
      <c r="C54" t="s">
        <v>994</v>
      </c>
      <c r="D54" s="4">
        <v>408</v>
      </c>
      <c r="E54" t="str">
        <f t="shared" si="1"/>
        <v>Shared</v>
      </c>
      <c r="F54" s="13" t="str">
        <f t="shared" si="0"/>
        <v>2022-03</v>
      </c>
    </row>
    <row r="55" spans="1:6" x14ac:dyDescent="0.2">
      <c r="A55" s="2">
        <v>44642</v>
      </c>
      <c r="B55" s="1" t="s">
        <v>716</v>
      </c>
      <c r="C55" t="s">
        <v>994</v>
      </c>
      <c r="D55" s="4">
        <v>466</v>
      </c>
      <c r="E55" t="str">
        <f t="shared" si="1"/>
        <v>Shared</v>
      </c>
      <c r="F55" s="13" t="str">
        <f t="shared" si="0"/>
        <v>2022-03</v>
      </c>
    </row>
    <row r="56" spans="1:6" x14ac:dyDescent="0.2">
      <c r="A56" s="2">
        <v>44642</v>
      </c>
      <c r="B56" s="1" t="s">
        <v>717</v>
      </c>
      <c r="C56" t="s">
        <v>994</v>
      </c>
      <c r="D56" s="4">
        <v>85</v>
      </c>
      <c r="E56" t="str">
        <f t="shared" si="1"/>
        <v>Shared</v>
      </c>
      <c r="F56" s="13" t="str">
        <f t="shared" si="0"/>
        <v>2022-03</v>
      </c>
    </row>
    <row r="57" spans="1:6" x14ac:dyDescent="0.2">
      <c r="A57" s="2">
        <v>44642</v>
      </c>
      <c r="B57" s="1" t="s">
        <v>743</v>
      </c>
      <c r="C57" t="s">
        <v>295</v>
      </c>
      <c r="D57" s="4">
        <v>1200</v>
      </c>
      <c r="E57" t="str">
        <f t="shared" si="1"/>
        <v>Direct</v>
      </c>
      <c r="F57" s="13" t="str">
        <f t="shared" si="0"/>
        <v>2022-03</v>
      </c>
    </row>
    <row r="58" spans="1:6" x14ac:dyDescent="0.2">
      <c r="A58" s="2">
        <v>44642</v>
      </c>
      <c r="B58" s="1" t="s">
        <v>744</v>
      </c>
      <c r="C58" t="s">
        <v>295</v>
      </c>
      <c r="D58" s="4">
        <v>410</v>
      </c>
      <c r="E58" t="str">
        <f t="shared" si="1"/>
        <v>Direct</v>
      </c>
      <c r="F58" s="13" t="str">
        <f t="shared" si="0"/>
        <v>2022-03</v>
      </c>
    </row>
    <row r="59" spans="1:6" x14ac:dyDescent="0.2">
      <c r="A59" s="2">
        <v>44642</v>
      </c>
      <c r="B59" s="1" t="s">
        <v>9</v>
      </c>
      <c r="C59" t="s">
        <v>295</v>
      </c>
      <c r="D59" s="4">
        <v>150</v>
      </c>
      <c r="E59" t="str">
        <f t="shared" si="1"/>
        <v>Direct</v>
      </c>
      <c r="F59" s="13" t="str">
        <f t="shared" si="0"/>
        <v>2022-03</v>
      </c>
    </row>
    <row r="60" spans="1:6" x14ac:dyDescent="0.2">
      <c r="A60" s="2">
        <v>44642</v>
      </c>
      <c r="B60" s="1" t="s">
        <v>718</v>
      </c>
      <c r="C60" t="s">
        <v>994</v>
      </c>
      <c r="D60" s="4">
        <v>300</v>
      </c>
      <c r="E60" t="str">
        <f t="shared" si="1"/>
        <v>Shared</v>
      </c>
      <c r="F60" s="13" t="str">
        <f t="shared" si="0"/>
        <v>2022-03</v>
      </c>
    </row>
    <row r="61" spans="1:6" x14ac:dyDescent="0.2">
      <c r="A61" s="2">
        <v>44642</v>
      </c>
      <c r="B61" s="1" t="s">
        <v>719</v>
      </c>
      <c r="C61" t="s">
        <v>994</v>
      </c>
      <c r="D61" s="4">
        <v>262</v>
      </c>
      <c r="E61" t="str">
        <f t="shared" si="1"/>
        <v>Shared</v>
      </c>
      <c r="F61" s="13" t="str">
        <f t="shared" si="0"/>
        <v>2022-03</v>
      </c>
    </row>
    <row r="62" spans="1:6" x14ac:dyDescent="0.2">
      <c r="A62" s="2">
        <v>44642</v>
      </c>
      <c r="B62" s="1" t="s">
        <v>8</v>
      </c>
      <c r="C62" t="s">
        <v>994</v>
      </c>
      <c r="D62" s="4">
        <v>42.5</v>
      </c>
      <c r="E62" t="str">
        <f t="shared" si="1"/>
        <v>Shared</v>
      </c>
      <c r="F62" s="13" t="str">
        <f t="shared" si="0"/>
        <v>2022-03</v>
      </c>
    </row>
    <row r="63" spans="1:6" x14ac:dyDescent="0.2">
      <c r="A63" s="2">
        <v>44642</v>
      </c>
      <c r="B63" s="1" t="s">
        <v>745</v>
      </c>
      <c r="C63" t="s">
        <v>295</v>
      </c>
      <c r="D63" s="4">
        <v>1284</v>
      </c>
      <c r="E63" t="str">
        <f t="shared" si="1"/>
        <v>Direct</v>
      </c>
      <c r="F63" s="13" t="str">
        <f t="shared" si="0"/>
        <v>2022-03</v>
      </c>
    </row>
    <row r="64" spans="1:6" x14ac:dyDescent="0.2">
      <c r="A64" s="2">
        <v>44643</v>
      </c>
      <c r="B64" s="1" t="s">
        <v>720</v>
      </c>
      <c r="C64" t="s">
        <v>994</v>
      </c>
      <c r="D64" s="4">
        <v>105</v>
      </c>
      <c r="E64" t="str">
        <f t="shared" si="1"/>
        <v>Shared</v>
      </c>
      <c r="F64" s="13" t="str">
        <f t="shared" si="0"/>
        <v>2022-03</v>
      </c>
    </row>
    <row r="65" spans="1:6" x14ac:dyDescent="0.2">
      <c r="A65" s="2">
        <v>44643</v>
      </c>
      <c r="B65" s="1" t="s">
        <v>747</v>
      </c>
      <c r="C65" t="s">
        <v>296</v>
      </c>
      <c r="D65" s="4">
        <v>1200</v>
      </c>
      <c r="E65" t="str">
        <f t="shared" si="1"/>
        <v>Direct</v>
      </c>
      <c r="F65" s="13" t="str">
        <f t="shared" si="0"/>
        <v>2022-03</v>
      </c>
    </row>
    <row r="66" spans="1:6" x14ac:dyDescent="0.2">
      <c r="A66" s="2">
        <v>44644</v>
      </c>
      <c r="B66" s="1" t="s">
        <v>721</v>
      </c>
      <c r="C66" t="s">
        <v>994</v>
      </c>
      <c r="D66" s="4">
        <v>214</v>
      </c>
      <c r="E66" t="str">
        <f t="shared" si="1"/>
        <v>Shared</v>
      </c>
      <c r="F66" s="13" t="str">
        <f t="shared" ref="F66:F129" si="2">YEAR(A66)&amp;"-"&amp;TEXT(MONTH(A66),"00")</f>
        <v>2022-03</v>
      </c>
    </row>
    <row r="67" spans="1:6" x14ac:dyDescent="0.2">
      <c r="A67" s="2">
        <v>44644</v>
      </c>
      <c r="B67" s="1" t="s">
        <v>746</v>
      </c>
      <c r="C67" t="s">
        <v>295</v>
      </c>
      <c r="D67" s="4">
        <v>160</v>
      </c>
      <c r="E67" t="str">
        <f t="shared" ref="E67:E130" si="3">IF(OR(C67="A302", C67="B303", C67="C301"), "Direct", "Shared")</f>
        <v>Direct</v>
      </c>
      <c r="F67" s="13" t="str">
        <f t="shared" si="2"/>
        <v>2022-03</v>
      </c>
    </row>
    <row r="68" spans="1:6" x14ac:dyDescent="0.2">
      <c r="A68" s="2">
        <v>44644</v>
      </c>
      <c r="B68" s="1" t="s">
        <v>9</v>
      </c>
      <c r="C68" t="s">
        <v>296</v>
      </c>
      <c r="D68" s="4">
        <v>195</v>
      </c>
      <c r="E68" t="str">
        <f t="shared" si="3"/>
        <v>Direct</v>
      </c>
      <c r="F68" s="13" t="str">
        <f t="shared" si="2"/>
        <v>2022-03</v>
      </c>
    </row>
    <row r="69" spans="1:6" x14ac:dyDescent="0.2">
      <c r="A69" s="2">
        <v>44647</v>
      </c>
      <c r="B69" s="1" t="s">
        <v>748</v>
      </c>
      <c r="C69" t="s">
        <v>295</v>
      </c>
      <c r="D69" s="4">
        <v>1200</v>
      </c>
      <c r="E69" t="str">
        <f t="shared" si="3"/>
        <v>Direct</v>
      </c>
      <c r="F69" s="13" t="str">
        <f t="shared" si="2"/>
        <v>2022-03</v>
      </c>
    </row>
    <row r="70" spans="1:6" x14ac:dyDescent="0.2">
      <c r="A70" s="2">
        <v>44648</v>
      </c>
      <c r="B70" s="1" t="s">
        <v>9</v>
      </c>
      <c r="C70" t="s">
        <v>295</v>
      </c>
      <c r="D70" s="4">
        <v>170</v>
      </c>
      <c r="E70" t="str">
        <f t="shared" si="3"/>
        <v>Direct</v>
      </c>
      <c r="F70" s="13" t="str">
        <f t="shared" si="2"/>
        <v>2022-03</v>
      </c>
    </row>
    <row r="71" spans="1:6" x14ac:dyDescent="0.2">
      <c r="A71" s="2">
        <v>44656</v>
      </c>
      <c r="B71" s="1" t="s">
        <v>5</v>
      </c>
      <c r="C71" t="s">
        <v>994</v>
      </c>
      <c r="D71" s="4">
        <v>743</v>
      </c>
      <c r="E71" t="str">
        <f t="shared" si="3"/>
        <v>Shared</v>
      </c>
      <c r="F71" s="13" t="str">
        <f t="shared" si="2"/>
        <v>2022-04</v>
      </c>
    </row>
    <row r="72" spans="1:6" x14ac:dyDescent="0.2">
      <c r="A72" s="2">
        <v>44656</v>
      </c>
      <c r="B72" s="1" t="s">
        <v>722</v>
      </c>
      <c r="C72" t="s">
        <v>994</v>
      </c>
      <c r="D72" s="4">
        <v>950</v>
      </c>
      <c r="E72" t="str">
        <f t="shared" si="3"/>
        <v>Shared</v>
      </c>
      <c r="F72" s="13" t="str">
        <f t="shared" si="2"/>
        <v>2022-04</v>
      </c>
    </row>
    <row r="73" spans="1:6" x14ac:dyDescent="0.2">
      <c r="A73" s="2">
        <v>44656</v>
      </c>
      <c r="B73" s="1" t="s">
        <v>723</v>
      </c>
      <c r="C73" t="s">
        <v>994</v>
      </c>
      <c r="D73" s="4">
        <v>300</v>
      </c>
      <c r="E73" t="str">
        <f t="shared" si="3"/>
        <v>Shared</v>
      </c>
      <c r="F73" s="13" t="str">
        <f t="shared" si="2"/>
        <v>2022-04</v>
      </c>
    </row>
    <row r="74" spans="1:6" x14ac:dyDescent="0.2">
      <c r="A74" s="2">
        <v>44656</v>
      </c>
      <c r="B74" s="1" t="s">
        <v>749</v>
      </c>
      <c r="C74" t="s">
        <v>295</v>
      </c>
      <c r="D74" s="4">
        <v>1200</v>
      </c>
      <c r="E74" t="str">
        <f t="shared" si="3"/>
        <v>Direct</v>
      </c>
      <c r="F74" s="13" t="str">
        <f t="shared" si="2"/>
        <v>2022-04</v>
      </c>
    </row>
    <row r="75" spans="1:6" x14ac:dyDescent="0.2">
      <c r="A75" s="2">
        <v>44656</v>
      </c>
      <c r="B75" s="1" t="s">
        <v>9</v>
      </c>
      <c r="C75" t="s">
        <v>295</v>
      </c>
      <c r="D75" s="4">
        <v>580</v>
      </c>
      <c r="E75" t="str">
        <f t="shared" si="3"/>
        <v>Direct</v>
      </c>
      <c r="F75" s="13" t="str">
        <f t="shared" si="2"/>
        <v>2022-04</v>
      </c>
    </row>
    <row r="76" spans="1:6" x14ac:dyDescent="0.2">
      <c r="A76" s="2">
        <v>44656</v>
      </c>
      <c r="B76" s="1" t="s">
        <v>751</v>
      </c>
      <c r="C76" t="s">
        <v>296</v>
      </c>
      <c r="D76" s="4">
        <v>1100</v>
      </c>
      <c r="E76" t="str">
        <f t="shared" si="3"/>
        <v>Direct</v>
      </c>
      <c r="F76" s="13" t="str">
        <f t="shared" si="2"/>
        <v>2022-04</v>
      </c>
    </row>
    <row r="77" spans="1:6" x14ac:dyDescent="0.2">
      <c r="A77" s="2">
        <v>44656</v>
      </c>
      <c r="B77" s="1" t="s">
        <v>750</v>
      </c>
      <c r="C77" t="s">
        <v>295</v>
      </c>
      <c r="D77" s="4">
        <v>150</v>
      </c>
      <c r="E77" t="str">
        <f t="shared" si="3"/>
        <v>Direct</v>
      </c>
      <c r="F77" s="13" t="str">
        <f t="shared" si="2"/>
        <v>2022-04</v>
      </c>
    </row>
    <row r="78" spans="1:6" x14ac:dyDescent="0.2">
      <c r="A78" s="2">
        <v>44656</v>
      </c>
      <c r="B78" s="1" t="s">
        <v>72</v>
      </c>
      <c r="C78" t="s">
        <v>994</v>
      </c>
      <c r="D78" s="4">
        <v>100</v>
      </c>
      <c r="E78" t="str">
        <f t="shared" si="3"/>
        <v>Shared</v>
      </c>
      <c r="F78" s="13" t="str">
        <f t="shared" si="2"/>
        <v>2022-04</v>
      </c>
    </row>
    <row r="79" spans="1:6" x14ac:dyDescent="0.2">
      <c r="A79" s="2">
        <v>44656</v>
      </c>
      <c r="B79" s="1" t="s">
        <v>298</v>
      </c>
      <c r="C79" t="s">
        <v>296</v>
      </c>
      <c r="D79" s="4">
        <v>1200</v>
      </c>
      <c r="E79" t="str">
        <f t="shared" si="3"/>
        <v>Direct</v>
      </c>
      <c r="F79" s="13" t="str">
        <f t="shared" si="2"/>
        <v>2022-04</v>
      </c>
    </row>
    <row r="80" spans="1:6" x14ac:dyDescent="0.2">
      <c r="A80" s="2">
        <v>44656</v>
      </c>
      <c r="B80" s="1" t="s">
        <v>5</v>
      </c>
      <c r="C80" t="s">
        <v>994</v>
      </c>
      <c r="D80" s="4">
        <v>600</v>
      </c>
      <c r="E80" t="str">
        <f t="shared" si="3"/>
        <v>Shared</v>
      </c>
      <c r="F80" s="13" t="str">
        <f t="shared" si="2"/>
        <v>2022-04</v>
      </c>
    </row>
    <row r="81" spans="1:6" x14ac:dyDescent="0.2">
      <c r="A81" s="2">
        <v>44656</v>
      </c>
      <c r="B81" s="1" t="s">
        <v>298</v>
      </c>
      <c r="C81" t="s">
        <v>295</v>
      </c>
      <c r="D81" s="4">
        <v>800</v>
      </c>
      <c r="E81" t="str">
        <f t="shared" si="3"/>
        <v>Direct</v>
      </c>
      <c r="F81" s="13" t="str">
        <f t="shared" si="2"/>
        <v>2022-04</v>
      </c>
    </row>
    <row r="82" spans="1:6" x14ac:dyDescent="0.2">
      <c r="A82" s="2">
        <v>44656</v>
      </c>
      <c r="B82" s="1" t="s">
        <v>9</v>
      </c>
      <c r="C82" t="s">
        <v>295</v>
      </c>
      <c r="D82" s="4">
        <v>195</v>
      </c>
      <c r="E82" t="str">
        <f t="shared" si="3"/>
        <v>Direct</v>
      </c>
      <c r="F82" s="13" t="str">
        <f t="shared" si="2"/>
        <v>2022-04</v>
      </c>
    </row>
    <row r="83" spans="1:6" x14ac:dyDescent="0.2">
      <c r="A83" s="2">
        <v>44656</v>
      </c>
      <c r="B83" s="1" t="s">
        <v>72</v>
      </c>
      <c r="C83" t="s">
        <v>994</v>
      </c>
      <c r="D83" s="4">
        <v>100</v>
      </c>
      <c r="E83" t="str">
        <f t="shared" si="3"/>
        <v>Shared</v>
      </c>
      <c r="F83" s="13" t="str">
        <f t="shared" si="2"/>
        <v>2022-04</v>
      </c>
    </row>
    <row r="84" spans="1:6" x14ac:dyDescent="0.2">
      <c r="A84" s="2">
        <v>44656</v>
      </c>
      <c r="B84" s="1" t="s">
        <v>752</v>
      </c>
      <c r="C84" t="s">
        <v>295</v>
      </c>
      <c r="D84" s="4">
        <v>500</v>
      </c>
      <c r="E84" t="str">
        <f t="shared" si="3"/>
        <v>Direct</v>
      </c>
      <c r="F84" s="13" t="str">
        <f t="shared" si="2"/>
        <v>2022-04</v>
      </c>
    </row>
    <row r="85" spans="1:6" x14ac:dyDescent="0.2">
      <c r="A85" s="2">
        <v>44656</v>
      </c>
      <c r="B85" s="1" t="s">
        <v>753</v>
      </c>
      <c r="C85" t="s">
        <v>295</v>
      </c>
      <c r="D85" s="4">
        <v>400</v>
      </c>
      <c r="E85" t="str">
        <f t="shared" si="3"/>
        <v>Direct</v>
      </c>
      <c r="F85" s="13" t="str">
        <f t="shared" si="2"/>
        <v>2022-04</v>
      </c>
    </row>
    <row r="86" spans="1:6" x14ac:dyDescent="0.2">
      <c r="A86" s="2">
        <v>44656</v>
      </c>
      <c r="B86" s="1" t="s">
        <v>754</v>
      </c>
      <c r="C86" t="s">
        <v>295</v>
      </c>
      <c r="D86" s="4">
        <v>700</v>
      </c>
      <c r="E86" t="str">
        <f t="shared" si="3"/>
        <v>Direct</v>
      </c>
      <c r="F86" s="13" t="str">
        <f t="shared" si="2"/>
        <v>2022-04</v>
      </c>
    </row>
    <row r="87" spans="1:6" x14ac:dyDescent="0.2">
      <c r="A87" s="2">
        <v>44656</v>
      </c>
      <c r="B87" s="1" t="s">
        <v>755</v>
      </c>
      <c r="C87" t="s">
        <v>295</v>
      </c>
      <c r="D87" s="4">
        <v>1200</v>
      </c>
      <c r="E87" t="str">
        <f t="shared" si="3"/>
        <v>Direct</v>
      </c>
      <c r="F87" s="13" t="str">
        <f t="shared" si="2"/>
        <v>2022-04</v>
      </c>
    </row>
    <row r="88" spans="1:6" x14ac:dyDescent="0.2">
      <c r="A88" s="2">
        <v>44656</v>
      </c>
      <c r="B88" s="1" t="s">
        <v>756</v>
      </c>
      <c r="C88" t="s">
        <v>295</v>
      </c>
      <c r="D88" s="4">
        <v>230</v>
      </c>
      <c r="E88" t="str">
        <f t="shared" si="3"/>
        <v>Direct</v>
      </c>
      <c r="F88" s="13" t="str">
        <f t="shared" si="2"/>
        <v>2022-04</v>
      </c>
    </row>
    <row r="89" spans="1:6" x14ac:dyDescent="0.2">
      <c r="A89" s="2">
        <v>44656</v>
      </c>
      <c r="B89" s="1" t="s">
        <v>724</v>
      </c>
      <c r="C89" t="s">
        <v>994</v>
      </c>
      <c r="D89" s="4">
        <v>40</v>
      </c>
      <c r="E89" t="str">
        <f t="shared" si="3"/>
        <v>Shared</v>
      </c>
      <c r="F89" s="13" t="str">
        <f t="shared" si="2"/>
        <v>2022-04</v>
      </c>
    </row>
    <row r="90" spans="1:6" x14ac:dyDescent="0.2">
      <c r="A90" s="2">
        <v>44656</v>
      </c>
      <c r="B90" s="1" t="s">
        <v>298</v>
      </c>
      <c r="C90" t="s">
        <v>295</v>
      </c>
      <c r="D90" s="4">
        <v>1200</v>
      </c>
      <c r="E90" t="str">
        <f t="shared" si="3"/>
        <v>Direct</v>
      </c>
      <c r="F90" s="13" t="str">
        <f t="shared" si="2"/>
        <v>2022-04</v>
      </c>
    </row>
    <row r="91" spans="1:6" x14ac:dyDescent="0.2">
      <c r="A91" s="2">
        <v>44656</v>
      </c>
      <c r="B91" s="1" t="s">
        <v>725</v>
      </c>
      <c r="C91" t="s">
        <v>994</v>
      </c>
      <c r="D91" s="4">
        <v>350</v>
      </c>
      <c r="E91" t="str">
        <f t="shared" si="3"/>
        <v>Shared</v>
      </c>
      <c r="F91" s="13" t="str">
        <f t="shared" si="2"/>
        <v>2022-04</v>
      </c>
    </row>
    <row r="92" spans="1:6" x14ac:dyDescent="0.2">
      <c r="A92" s="2">
        <v>44656</v>
      </c>
      <c r="B92" s="1" t="s">
        <v>726</v>
      </c>
      <c r="C92" t="s">
        <v>994</v>
      </c>
      <c r="D92" s="4">
        <v>900</v>
      </c>
      <c r="E92" t="str">
        <f t="shared" si="3"/>
        <v>Shared</v>
      </c>
      <c r="F92" s="13" t="str">
        <f t="shared" si="2"/>
        <v>2022-04</v>
      </c>
    </row>
    <row r="93" spans="1:6" x14ac:dyDescent="0.2">
      <c r="A93" s="2">
        <v>44656</v>
      </c>
      <c r="B93" s="1" t="s">
        <v>298</v>
      </c>
      <c r="C93" t="s">
        <v>296</v>
      </c>
      <c r="D93" s="4">
        <v>1200</v>
      </c>
      <c r="E93" t="str">
        <f t="shared" si="3"/>
        <v>Direct</v>
      </c>
      <c r="F93" s="13" t="str">
        <f t="shared" si="2"/>
        <v>2022-04</v>
      </c>
    </row>
    <row r="94" spans="1:6" x14ac:dyDescent="0.2">
      <c r="A94" s="2">
        <v>44656</v>
      </c>
      <c r="B94" s="1" t="s">
        <v>128</v>
      </c>
      <c r="C94" t="s">
        <v>994</v>
      </c>
      <c r="D94" s="4">
        <v>300</v>
      </c>
      <c r="E94" t="str">
        <f t="shared" si="3"/>
        <v>Shared</v>
      </c>
      <c r="F94" s="13" t="str">
        <f t="shared" si="2"/>
        <v>2022-04</v>
      </c>
    </row>
    <row r="95" spans="1:6" x14ac:dyDescent="0.2">
      <c r="A95" s="2">
        <v>44656</v>
      </c>
      <c r="B95" s="1" t="s">
        <v>727</v>
      </c>
      <c r="C95" t="s">
        <v>994</v>
      </c>
      <c r="D95" s="4">
        <v>650</v>
      </c>
      <c r="E95" t="str">
        <f t="shared" si="3"/>
        <v>Shared</v>
      </c>
      <c r="F95" s="13" t="str">
        <f t="shared" si="2"/>
        <v>2022-04</v>
      </c>
    </row>
    <row r="96" spans="1:6" x14ac:dyDescent="0.2">
      <c r="A96" s="2">
        <v>44656</v>
      </c>
      <c r="B96" s="1" t="s">
        <v>728</v>
      </c>
      <c r="C96" t="s">
        <v>994</v>
      </c>
      <c r="D96" s="4">
        <v>500</v>
      </c>
      <c r="E96" t="str">
        <f t="shared" si="3"/>
        <v>Shared</v>
      </c>
      <c r="F96" s="13" t="str">
        <f t="shared" si="2"/>
        <v>2022-04</v>
      </c>
    </row>
    <row r="97" spans="1:6" x14ac:dyDescent="0.2">
      <c r="A97" s="2">
        <v>44671</v>
      </c>
      <c r="B97" s="1" t="s">
        <v>9</v>
      </c>
      <c r="C97" s="1" t="s">
        <v>994</v>
      </c>
      <c r="D97" s="4">
        <v>171</v>
      </c>
      <c r="E97" t="str">
        <f t="shared" si="3"/>
        <v>Shared</v>
      </c>
      <c r="F97" s="13" t="str">
        <f t="shared" si="2"/>
        <v>2022-04</v>
      </c>
    </row>
    <row r="98" spans="1:6" x14ac:dyDescent="0.2">
      <c r="A98" s="2">
        <v>44671</v>
      </c>
      <c r="B98" s="1" t="s">
        <v>3</v>
      </c>
      <c r="C98" s="1" t="s">
        <v>994</v>
      </c>
      <c r="D98" s="4">
        <v>100</v>
      </c>
      <c r="E98" t="str">
        <f t="shared" si="3"/>
        <v>Shared</v>
      </c>
      <c r="F98" s="13" t="str">
        <f t="shared" si="2"/>
        <v>2022-04</v>
      </c>
    </row>
    <row r="99" spans="1:6" x14ac:dyDescent="0.2">
      <c r="A99" s="2">
        <v>44671</v>
      </c>
      <c r="B99" s="1" t="s">
        <v>4</v>
      </c>
      <c r="C99" s="1" t="s">
        <v>994</v>
      </c>
      <c r="D99" s="4">
        <v>1500</v>
      </c>
      <c r="E99" t="str">
        <f t="shared" si="3"/>
        <v>Shared</v>
      </c>
      <c r="F99" s="13" t="str">
        <f t="shared" si="2"/>
        <v>2022-04</v>
      </c>
    </row>
    <row r="100" spans="1:6" x14ac:dyDescent="0.2">
      <c r="A100" s="2">
        <v>44671</v>
      </c>
      <c r="B100" s="1" t="s">
        <v>298</v>
      </c>
      <c r="C100" s="1" t="s">
        <v>994</v>
      </c>
      <c r="D100" s="4">
        <v>1200</v>
      </c>
      <c r="E100" t="str">
        <f t="shared" si="3"/>
        <v>Shared</v>
      </c>
      <c r="F100" s="13" t="str">
        <f t="shared" si="2"/>
        <v>2022-04</v>
      </c>
    </row>
    <row r="101" spans="1:6" x14ac:dyDescent="0.2">
      <c r="A101" s="2">
        <v>44671</v>
      </c>
      <c r="B101" s="1" t="s">
        <v>5</v>
      </c>
      <c r="C101" s="1" t="s">
        <v>994</v>
      </c>
      <c r="D101" s="4">
        <v>470</v>
      </c>
      <c r="E101" t="str">
        <f t="shared" si="3"/>
        <v>Shared</v>
      </c>
      <c r="F101" s="13" t="str">
        <f t="shared" si="2"/>
        <v>2022-04</v>
      </c>
    </row>
    <row r="102" spans="1:6" x14ac:dyDescent="0.2">
      <c r="A102" s="2">
        <v>44671</v>
      </c>
      <c r="B102" s="1" t="s">
        <v>996</v>
      </c>
      <c r="C102" s="1" t="s">
        <v>295</v>
      </c>
      <c r="D102" s="4">
        <v>450</v>
      </c>
      <c r="E102" t="str">
        <f t="shared" si="3"/>
        <v>Direct</v>
      </c>
      <c r="F102" s="13" t="str">
        <f t="shared" si="2"/>
        <v>2022-04</v>
      </c>
    </row>
    <row r="103" spans="1:6" x14ac:dyDescent="0.2">
      <c r="A103" s="2">
        <v>44671</v>
      </c>
      <c r="B103" s="1" t="s">
        <v>9</v>
      </c>
      <c r="C103" s="1" t="s">
        <v>295</v>
      </c>
      <c r="D103" s="4">
        <v>225</v>
      </c>
      <c r="E103" t="str">
        <f t="shared" si="3"/>
        <v>Direct</v>
      </c>
      <c r="F103" s="13" t="str">
        <f t="shared" si="2"/>
        <v>2022-04</v>
      </c>
    </row>
    <row r="104" spans="1:6" x14ac:dyDescent="0.2">
      <c r="A104" s="2">
        <v>44671</v>
      </c>
      <c r="B104" s="1" t="s">
        <v>6</v>
      </c>
      <c r="C104" s="1" t="s">
        <v>994</v>
      </c>
      <c r="D104" s="4">
        <v>550</v>
      </c>
      <c r="E104" t="str">
        <f t="shared" si="3"/>
        <v>Shared</v>
      </c>
      <c r="F104" s="13" t="str">
        <f t="shared" si="2"/>
        <v>2022-04</v>
      </c>
    </row>
    <row r="105" spans="1:6" x14ac:dyDescent="0.2">
      <c r="A105" s="2">
        <v>44678</v>
      </c>
      <c r="B105" s="1" t="s">
        <v>299</v>
      </c>
      <c r="C105" s="1" t="s">
        <v>295</v>
      </c>
      <c r="D105" s="4">
        <v>1200</v>
      </c>
      <c r="E105" t="str">
        <f t="shared" si="3"/>
        <v>Direct</v>
      </c>
      <c r="F105" s="13" t="str">
        <f t="shared" si="2"/>
        <v>2022-04</v>
      </c>
    </row>
    <row r="106" spans="1:6" x14ac:dyDescent="0.2">
      <c r="A106" s="2">
        <v>44680</v>
      </c>
      <c r="B106" s="1" t="s">
        <v>298</v>
      </c>
      <c r="C106" s="1" t="s">
        <v>295</v>
      </c>
      <c r="D106" s="4">
        <v>2000</v>
      </c>
      <c r="E106" t="str">
        <f t="shared" si="3"/>
        <v>Direct</v>
      </c>
      <c r="F106" s="13" t="str">
        <f t="shared" si="2"/>
        <v>2022-04</v>
      </c>
    </row>
    <row r="107" spans="1:6" x14ac:dyDescent="0.2">
      <c r="A107" s="2">
        <v>44680</v>
      </c>
      <c r="B107" s="1" t="s">
        <v>7</v>
      </c>
      <c r="C107" s="1" t="s">
        <v>994</v>
      </c>
      <c r="D107" s="4">
        <v>700</v>
      </c>
      <c r="E107" t="str">
        <f t="shared" si="3"/>
        <v>Shared</v>
      </c>
      <c r="F107" s="13" t="str">
        <f t="shared" si="2"/>
        <v>2022-04</v>
      </c>
    </row>
    <row r="108" spans="1:6" x14ac:dyDescent="0.2">
      <c r="A108" s="2">
        <v>44681</v>
      </c>
      <c r="B108" s="1" t="s">
        <v>298</v>
      </c>
      <c r="C108" s="1" t="s">
        <v>296</v>
      </c>
      <c r="D108" s="4">
        <v>1200</v>
      </c>
      <c r="E108" t="str">
        <f t="shared" si="3"/>
        <v>Direct</v>
      </c>
      <c r="F108" s="13" t="str">
        <f t="shared" si="2"/>
        <v>2022-04</v>
      </c>
    </row>
    <row r="109" spans="1:6" x14ac:dyDescent="0.2">
      <c r="A109" s="2">
        <v>44681</v>
      </c>
      <c r="B109" s="1" t="s">
        <v>8</v>
      </c>
      <c r="C109" s="1" t="s">
        <v>994</v>
      </c>
      <c r="D109" s="4">
        <v>100</v>
      </c>
      <c r="E109" t="str">
        <f t="shared" si="3"/>
        <v>Shared</v>
      </c>
      <c r="F109" s="13" t="str">
        <f t="shared" si="2"/>
        <v>2022-04</v>
      </c>
    </row>
    <row r="110" spans="1:6" x14ac:dyDescent="0.2">
      <c r="A110" s="2">
        <v>44681</v>
      </c>
      <c r="B110" s="1" t="s">
        <v>300</v>
      </c>
      <c r="C110" s="1" t="s">
        <v>296</v>
      </c>
      <c r="D110" s="4">
        <v>1470</v>
      </c>
      <c r="E110" t="str">
        <f t="shared" si="3"/>
        <v>Direct</v>
      </c>
      <c r="F110" s="13" t="str">
        <f t="shared" si="2"/>
        <v>2022-04</v>
      </c>
    </row>
    <row r="111" spans="1:6" x14ac:dyDescent="0.2">
      <c r="A111" s="2">
        <v>44684</v>
      </c>
      <c r="B111" s="1" t="s">
        <v>298</v>
      </c>
      <c r="C111" s="1" t="s">
        <v>295</v>
      </c>
      <c r="D111" s="4">
        <v>1200</v>
      </c>
      <c r="E111" t="str">
        <f t="shared" si="3"/>
        <v>Direct</v>
      </c>
      <c r="F111" s="13" t="str">
        <f t="shared" si="2"/>
        <v>2022-05</v>
      </c>
    </row>
    <row r="112" spans="1:6" x14ac:dyDescent="0.2">
      <c r="A112" s="2">
        <v>44684</v>
      </c>
      <c r="B112" s="1" t="s">
        <v>9</v>
      </c>
      <c r="C112" s="1" t="s">
        <v>295</v>
      </c>
      <c r="D112" s="4">
        <v>316</v>
      </c>
      <c r="E112" t="str">
        <f t="shared" si="3"/>
        <v>Direct</v>
      </c>
      <c r="F112" s="13" t="str">
        <f t="shared" si="2"/>
        <v>2022-05</v>
      </c>
    </row>
    <row r="113" spans="1:6" x14ac:dyDescent="0.2">
      <c r="A113" s="2">
        <v>44684</v>
      </c>
      <c r="B113" s="1" t="s">
        <v>9</v>
      </c>
      <c r="C113" s="1" t="s">
        <v>296</v>
      </c>
      <c r="D113" s="4">
        <v>200</v>
      </c>
      <c r="E113" t="str">
        <f t="shared" si="3"/>
        <v>Direct</v>
      </c>
      <c r="F113" s="13" t="str">
        <f t="shared" si="2"/>
        <v>2022-05</v>
      </c>
    </row>
    <row r="114" spans="1:6" x14ac:dyDescent="0.2">
      <c r="A114" s="2">
        <v>44684</v>
      </c>
      <c r="B114" s="1" t="s">
        <v>10</v>
      </c>
      <c r="C114" s="1" t="s">
        <v>296</v>
      </c>
      <c r="D114" s="4">
        <v>450</v>
      </c>
      <c r="E114" t="str">
        <f t="shared" si="3"/>
        <v>Direct</v>
      </c>
      <c r="F114" s="13" t="str">
        <f t="shared" si="2"/>
        <v>2022-05</v>
      </c>
    </row>
    <row r="115" spans="1:6" x14ac:dyDescent="0.2">
      <c r="A115" s="2">
        <v>44686</v>
      </c>
      <c r="B115" s="1" t="s">
        <v>5</v>
      </c>
      <c r="C115" s="1" t="s">
        <v>994</v>
      </c>
      <c r="D115" s="4">
        <v>1800</v>
      </c>
      <c r="E115" t="str">
        <f t="shared" si="3"/>
        <v>Shared</v>
      </c>
      <c r="F115" s="13" t="str">
        <f t="shared" si="2"/>
        <v>2022-05</v>
      </c>
    </row>
    <row r="116" spans="1:6" x14ac:dyDescent="0.2">
      <c r="A116" s="2">
        <v>44687</v>
      </c>
      <c r="B116" s="1" t="s">
        <v>9</v>
      </c>
      <c r="C116" s="1" t="s">
        <v>295</v>
      </c>
      <c r="D116" s="4">
        <v>332</v>
      </c>
      <c r="E116" t="str">
        <f t="shared" si="3"/>
        <v>Direct</v>
      </c>
      <c r="F116" s="13" t="str">
        <f t="shared" si="2"/>
        <v>2022-05</v>
      </c>
    </row>
    <row r="117" spans="1:6" x14ac:dyDescent="0.2">
      <c r="A117" s="2">
        <v>44687</v>
      </c>
      <c r="B117" s="1" t="s">
        <v>298</v>
      </c>
      <c r="C117" s="1" t="s">
        <v>295</v>
      </c>
      <c r="D117" s="4">
        <v>2000</v>
      </c>
      <c r="E117" t="str">
        <f t="shared" si="3"/>
        <v>Direct</v>
      </c>
      <c r="F117" s="13" t="str">
        <f t="shared" si="2"/>
        <v>2022-05</v>
      </c>
    </row>
    <row r="118" spans="1:6" x14ac:dyDescent="0.2">
      <c r="A118" s="2">
        <v>44687</v>
      </c>
      <c r="B118" s="1" t="s">
        <v>72</v>
      </c>
      <c r="C118" s="1" t="s">
        <v>296</v>
      </c>
      <c r="D118" s="4">
        <v>80</v>
      </c>
      <c r="E118" t="str">
        <f t="shared" si="3"/>
        <v>Direct</v>
      </c>
      <c r="F118" s="13" t="str">
        <f t="shared" si="2"/>
        <v>2022-05</v>
      </c>
    </row>
    <row r="119" spans="1:6" x14ac:dyDescent="0.2">
      <c r="A119" s="2">
        <v>44687</v>
      </c>
      <c r="B119" s="1" t="s">
        <v>11</v>
      </c>
      <c r="C119" s="1" t="s">
        <v>994</v>
      </c>
      <c r="D119" s="4">
        <v>600</v>
      </c>
      <c r="E119" t="str">
        <f t="shared" si="3"/>
        <v>Shared</v>
      </c>
      <c r="F119" s="13" t="str">
        <f t="shared" si="2"/>
        <v>2022-05</v>
      </c>
    </row>
    <row r="120" spans="1:6" x14ac:dyDescent="0.2">
      <c r="A120" s="2">
        <v>44687</v>
      </c>
      <c r="B120" s="1" t="s">
        <v>12</v>
      </c>
      <c r="C120" s="1" t="s">
        <v>994</v>
      </c>
      <c r="D120" s="4">
        <v>1257</v>
      </c>
      <c r="E120" t="str">
        <f t="shared" si="3"/>
        <v>Shared</v>
      </c>
      <c r="F120" s="13" t="str">
        <f t="shared" si="2"/>
        <v>2022-05</v>
      </c>
    </row>
    <row r="121" spans="1:6" x14ac:dyDescent="0.2">
      <c r="A121" s="2">
        <v>44692</v>
      </c>
      <c r="B121" s="1" t="s">
        <v>298</v>
      </c>
      <c r="C121" s="1" t="s">
        <v>296</v>
      </c>
      <c r="D121" s="4">
        <v>1200</v>
      </c>
      <c r="E121" t="str">
        <f t="shared" si="3"/>
        <v>Direct</v>
      </c>
      <c r="F121" s="13" t="str">
        <f t="shared" si="2"/>
        <v>2022-05</v>
      </c>
    </row>
    <row r="122" spans="1:6" x14ac:dyDescent="0.2">
      <c r="A122" s="2">
        <v>44692</v>
      </c>
      <c r="B122" s="1" t="s">
        <v>13</v>
      </c>
      <c r="C122" s="1" t="s">
        <v>994</v>
      </c>
      <c r="D122" s="4">
        <v>200</v>
      </c>
      <c r="E122" t="str">
        <f t="shared" si="3"/>
        <v>Shared</v>
      </c>
      <c r="F122" s="13" t="str">
        <f t="shared" si="2"/>
        <v>2022-05</v>
      </c>
    </row>
    <row r="123" spans="1:6" x14ac:dyDescent="0.2">
      <c r="A123" s="2">
        <v>44692</v>
      </c>
      <c r="B123" s="1" t="s">
        <v>14</v>
      </c>
      <c r="C123" s="1" t="s">
        <v>994</v>
      </c>
      <c r="D123" s="4">
        <v>198</v>
      </c>
      <c r="E123" t="str">
        <f t="shared" si="3"/>
        <v>Shared</v>
      </c>
      <c r="F123" s="13" t="str">
        <f t="shared" si="2"/>
        <v>2022-05</v>
      </c>
    </row>
    <row r="124" spans="1:6" x14ac:dyDescent="0.2">
      <c r="A124" s="2">
        <v>44692</v>
      </c>
      <c r="B124" s="1" t="s">
        <v>9</v>
      </c>
      <c r="C124" s="1" t="s">
        <v>296</v>
      </c>
      <c r="D124" s="4">
        <v>164</v>
      </c>
      <c r="E124" t="str">
        <f t="shared" si="3"/>
        <v>Direct</v>
      </c>
      <c r="F124" s="13" t="str">
        <f t="shared" si="2"/>
        <v>2022-05</v>
      </c>
    </row>
    <row r="125" spans="1:6" x14ac:dyDescent="0.2">
      <c r="A125" s="2">
        <v>44694</v>
      </c>
      <c r="B125" s="1" t="s">
        <v>301</v>
      </c>
      <c r="C125" s="1" t="s">
        <v>295</v>
      </c>
      <c r="D125" s="4">
        <v>2000</v>
      </c>
      <c r="E125" t="str">
        <f t="shared" si="3"/>
        <v>Direct</v>
      </c>
      <c r="F125" s="13" t="str">
        <f t="shared" si="2"/>
        <v>2022-05</v>
      </c>
    </row>
    <row r="126" spans="1:6" x14ac:dyDescent="0.2">
      <c r="A126" s="2">
        <v>44695</v>
      </c>
      <c r="B126" s="1" t="s">
        <v>302</v>
      </c>
      <c r="C126" s="1" t="s">
        <v>295</v>
      </c>
      <c r="D126" s="4">
        <v>354</v>
      </c>
      <c r="E126" t="str">
        <f t="shared" si="3"/>
        <v>Direct</v>
      </c>
      <c r="F126" s="13" t="str">
        <f t="shared" si="2"/>
        <v>2022-05</v>
      </c>
    </row>
    <row r="127" spans="1:6" x14ac:dyDescent="0.2">
      <c r="A127" s="2">
        <v>44699</v>
      </c>
      <c r="B127" s="1" t="s">
        <v>140</v>
      </c>
      <c r="C127" s="1" t="s">
        <v>295</v>
      </c>
      <c r="D127" s="4">
        <v>114</v>
      </c>
      <c r="E127" t="str">
        <f t="shared" si="3"/>
        <v>Direct</v>
      </c>
      <c r="F127" s="13" t="str">
        <f t="shared" si="2"/>
        <v>2022-05</v>
      </c>
    </row>
    <row r="128" spans="1:6" x14ac:dyDescent="0.2">
      <c r="A128" s="2">
        <v>44699</v>
      </c>
      <c r="B128" s="1" t="s">
        <v>303</v>
      </c>
      <c r="C128" s="1" t="s">
        <v>295</v>
      </c>
      <c r="D128" s="4">
        <v>600</v>
      </c>
      <c r="E128" t="str">
        <f t="shared" si="3"/>
        <v>Direct</v>
      </c>
      <c r="F128" s="13" t="str">
        <f t="shared" si="2"/>
        <v>2022-05</v>
      </c>
    </row>
    <row r="129" spans="1:6" x14ac:dyDescent="0.2">
      <c r="A129" s="2">
        <v>44700</v>
      </c>
      <c r="B129" s="1" t="s">
        <v>298</v>
      </c>
      <c r="C129" s="1" t="s">
        <v>296</v>
      </c>
      <c r="D129" s="4">
        <v>1200</v>
      </c>
      <c r="E129" t="str">
        <f t="shared" si="3"/>
        <v>Direct</v>
      </c>
      <c r="F129" s="13" t="str">
        <f t="shared" si="2"/>
        <v>2022-05</v>
      </c>
    </row>
    <row r="130" spans="1:6" x14ac:dyDescent="0.2">
      <c r="A130" s="2">
        <v>44700</v>
      </c>
      <c r="B130" s="1" t="s">
        <v>15</v>
      </c>
      <c r="C130" s="1" t="s">
        <v>994</v>
      </c>
      <c r="D130" s="4">
        <v>900</v>
      </c>
      <c r="E130" t="str">
        <f t="shared" si="3"/>
        <v>Shared</v>
      </c>
      <c r="F130" s="13" t="str">
        <f t="shared" ref="F130:F193" si="4">YEAR(A130)&amp;"-"&amp;TEXT(MONTH(A130),"00")</f>
        <v>2022-05</v>
      </c>
    </row>
    <row r="131" spans="1:6" x14ac:dyDescent="0.2">
      <c r="A131" s="2">
        <v>44700</v>
      </c>
      <c r="B131" s="1" t="s">
        <v>9</v>
      </c>
      <c r="C131" s="1" t="s">
        <v>296</v>
      </c>
      <c r="D131" s="4">
        <v>147</v>
      </c>
      <c r="E131" t="str">
        <f t="shared" ref="E131:E194" si="5">IF(OR(C131="A302", C131="B303", C131="C301"), "Direct", "Shared")</f>
        <v>Direct</v>
      </c>
      <c r="F131" s="13" t="str">
        <f t="shared" si="4"/>
        <v>2022-05</v>
      </c>
    </row>
    <row r="132" spans="1:6" x14ac:dyDescent="0.2">
      <c r="A132" s="2">
        <v>44706</v>
      </c>
      <c r="B132" s="1" t="s">
        <v>13</v>
      </c>
      <c r="C132" s="1" t="s">
        <v>994</v>
      </c>
      <c r="D132" s="4">
        <v>1500</v>
      </c>
      <c r="E132" t="str">
        <f t="shared" si="5"/>
        <v>Shared</v>
      </c>
      <c r="F132" s="13" t="str">
        <f t="shared" si="4"/>
        <v>2022-05</v>
      </c>
    </row>
    <row r="133" spans="1:6" x14ac:dyDescent="0.2">
      <c r="A133" s="2">
        <v>44707</v>
      </c>
      <c r="B133" s="1" t="s">
        <v>298</v>
      </c>
      <c r="C133" s="1" t="s">
        <v>296</v>
      </c>
      <c r="D133" s="4">
        <v>1200</v>
      </c>
      <c r="E133" t="str">
        <f t="shared" si="5"/>
        <v>Direct</v>
      </c>
      <c r="F133" s="13" t="str">
        <f t="shared" si="4"/>
        <v>2022-05</v>
      </c>
    </row>
    <row r="134" spans="1:6" x14ac:dyDescent="0.2">
      <c r="A134" s="2">
        <v>44707</v>
      </c>
      <c r="B134" s="1" t="s">
        <v>8</v>
      </c>
      <c r="C134" s="1" t="s">
        <v>994</v>
      </c>
      <c r="D134" s="4">
        <v>120</v>
      </c>
      <c r="E134" t="str">
        <f t="shared" si="5"/>
        <v>Shared</v>
      </c>
      <c r="F134" s="13" t="str">
        <f t="shared" si="4"/>
        <v>2022-05</v>
      </c>
    </row>
    <row r="135" spans="1:6" x14ac:dyDescent="0.2">
      <c r="A135" s="2">
        <v>44707</v>
      </c>
      <c r="B135" s="1" t="s">
        <v>304</v>
      </c>
      <c r="C135" s="1" t="s">
        <v>296</v>
      </c>
      <c r="D135" s="4">
        <v>200</v>
      </c>
      <c r="E135" t="str">
        <f t="shared" si="5"/>
        <v>Direct</v>
      </c>
      <c r="F135" s="13" t="str">
        <f t="shared" si="4"/>
        <v>2022-05</v>
      </c>
    </row>
    <row r="136" spans="1:6" x14ac:dyDescent="0.2">
      <c r="A136" s="2">
        <v>44707</v>
      </c>
      <c r="B136" s="1" t="s">
        <v>9</v>
      </c>
      <c r="C136" s="1" t="s">
        <v>296</v>
      </c>
      <c r="D136" s="4">
        <v>200</v>
      </c>
      <c r="E136" t="str">
        <f t="shared" si="5"/>
        <v>Direct</v>
      </c>
      <c r="F136" s="13" t="str">
        <f t="shared" si="4"/>
        <v>2022-05</v>
      </c>
    </row>
    <row r="137" spans="1:6" x14ac:dyDescent="0.2">
      <c r="A137" s="2">
        <v>44708</v>
      </c>
      <c r="B137" s="1" t="s">
        <v>16</v>
      </c>
      <c r="C137" s="1" t="s">
        <v>994</v>
      </c>
      <c r="D137" s="4">
        <v>566</v>
      </c>
      <c r="E137" t="str">
        <f t="shared" si="5"/>
        <v>Shared</v>
      </c>
      <c r="F137" s="13" t="str">
        <f t="shared" si="4"/>
        <v>2022-05</v>
      </c>
    </row>
    <row r="138" spans="1:6" x14ac:dyDescent="0.2">
      <c r="A138" s="2">
        <v>44709</v>
      </c>
      <c r="B138" s="1" t="s">
        <v>305</v>
      </c>
      <c r="C138" s="1" t="s">
        <v>296</v>
      </c>
      <c r="D138" s="4">
        <v>1550</v>
      </c>
      <c r="E138" t="str">
        <f t="shared" si="5"/>
        <v>Direct</v>
      </c>
      <c r="F138" s="13" t="str">
        <f t="shared" si="4"/>
        <v>2022-05</v>
      </c>
    </row>
    <row r="139" spans="1:6" x14ac:dyDescent="0.2">
      <c r="A139" s="2">
        <v>44711</v>
      </c>
      <c r="B139" s="1" t="s">
        <v>17</v>
      </c>
      <c r="C139" s="1" t="s">
        <v>994</v>
      </c>
      <c r="D139" s="4">
        <v>900</v>
      </c>
      <c r="E139" t="str">
        <f t="shared" si="5"/>
        <v>Shared</v>
      </c>
      <c r="F139" s="13" t="str">
        <f t="shared" si="4"/>
        <v>2022-05</v>
      </c>
    </row>
    <row r="140" spans="1:6" x14ac:dyDescent="0.2">
      <c r="A140" s="2">
        <v>44713</v>
      </c>
      <c r="B140" s="1" t="s">
        <v>18</v>
      </c>
      <c r="C140" s="1" t="s">
        <v>994</v>
      </c>
      <c r="D140" s="4">
        <v>160</v>
      </c>
      <c r="E140" t="str">
        <f t="shared" si="5"/>
        <v>Shared</v>
      </c>
      <c r="F140" s="13" t="str">
        <f t="shared" si="4"/>
        <v>2022-06</v>
      </c>
    </row>
    <row r="141" spans="1:6" x14ac:dyDescent="0.2">
      <c r="A141" s="2">
        <v>44714</v>
      </c>
      <c r="B141" s="1" t="s">
        <v>19</v>
      </c>
      <c r="C141" s="1" t="s">
        <v>994</v>
      </c>
      <c r="D141" s="4">
        <v>300</v>
      </c>
      <c r="E141" t="str">
        <f t="shared" si="5"/>
        <v>Shared</v>
      </c>
      <c r="F141" s="13" t="str">
        <f t="shared" si="4"/>
        <v>2022-06</v>
      </c>
    </row>
    <row r="142" spans="1:6" x14ac:dyDescent="0.2">
      <c r="A142" s="2">
        <v>44714</v>
      </c>
      <c r="B142" s="1" t="s">
        <v>298</v>
      </c>
      <c r="C142" s="1" t="s">
        <v>297</v>
      </c>
      <c r="D142" s="4">
        <v>1200</v>
      </c>
      <c r="E142" t="str">
        <f t="shared" si="5"/>
        <v>Direct</v>
      </c>
      <c r="F142" s="13" t="str">
        <f t="shared" si="4"/>
        <v>2022-06</v>
      </c>
    </row>
    <row r="143" spans="1:6" x14ac:dyDescent="0.2">
      <c r="A143" s="2">
        <v>44716</v>
      </c>
      <c r="B143" s="1" t="s">
        <v>298</v>
      </c>
      <c r="C143" s="1" t="s">
        <v>296</v>
      </c>
      <c r="D143" s="4">
        <v>1200</v>
      </c>
      <c r="E143" t="str">
        <f t="shared" si="5"/>
        <v>Direct</v>
      </c>
      <c r="F143" s="13" t="str">
        <f t="shared" si="4"/>
        <v>2022-06</v>
      </c>
    </row>
    <row r="144" spans="1:6" x14ac:dyDescent="0.2">
      <c r="A144" s="2">
        <v>44716</v>
      </c>
      <c r="B144" s="1" t="s">
        <v>306</v>
      </c>
      <c r="C144" s="1" t="s">
        <v>295</v>
      </c>
      <c r="D144" s="4">
        <v>800</v>
      </c>
      <c r="E144" t="str">
        <f t="shared" si="5"/>
        <v>Direct</v>
      </c>
      <c r="F144" s="13" t="str">
        <f t="shared" si="4"/>
        <v>2022-06</v>
      </c>
    </row>
    <row r="145" spans="1:6" x14ac:dyDescent="0.2">
      <c r="A145" s="2">
        <v>44716</v>
      </c>
      <c r="B145" s="1" t="s">
        <v>307</v>
      </c>
      <c r="C145" s="1" t="s">
        <v>295</v>
      </c>
      <c r="D145" s="4">
        <v>200</v>
      </c>
      <c r="E145" t="str">
        <f t="shared" si="5"/>
        <v>Direct</v>
      </c>
      <c r="F145" s="13" t="str">
        <f t="shared" si="4"/>
        <v>2022-06</v>
      </c>
    </row>
    <row r="146" spans="1:6" x14ac:dyDescent="0.2">
      <c r="A146" s="2">
        <v>44716</v>
      </c>
      <c r="B146" s="1" t="s">
        <v>9</v>
      </c>
      <c r="C146" s="1" t="s">
        <v>296</v>
      </c>
      <c r="D146" s="4">
        <v>200</v>
      </c>
      <c r="E146" t="str">
        <f t="shared" si="5"/>
        <v>Direct</v>
      </c>
      <c r="F146" s="13" t="str">
        <f t="shared" si="4"/>
        <v>2022-06</v>
      </c>
    </row>
    <row r="147" spans="1:6" x14ac:dyDescent="0.2">
      <c r="A147" s="2">
        <v>44716</v>
      </c>
      <c r="B147" s="1" t="s">
        <v>9</v>
      </c>
      <c r="C147" s="1" t="s">
        <v>295</v>
      </c>
      <c r="D147" s="4">
        <v>200</v>
      </c>
      <c r="E147" t="str">
        <f t="shared" si="5"/>
        <v>Direct</v>
      </c>
      <c r="F147" s="13" t="str">
        <f t="shared" si="4"/>
        <v>2022-06</v>
      </c>
    </row>
    <row r="148" spans="1:6" x14ac:dyDescent="0.2">
      <c r="A148" s="2">
        <v>44717</v>
      </c>
      <c r="B148" s="1" t="s">
        <v>20</v>
      </c>
      <c r="C148" s="1" t="s">
        <v>994</v>
      </c>
      <c r="D148" s="4">
        <v>288</v>
      </c>
      <c r="E148" t="str">
        <f t="shared" si="5"/>
        <v>Shared</v>
      </c>
      <c r="F148" s="13" t="str">
        <f t="shared" si="4"/>
        <v>2022-06</v>
      </c>
    </row>
    <row r="149" spans="1:6" x14ac:dyDescent="0.2">
      <c r="A149" s="2">
        <v>44718</v>
      </c>
      <c r="B149" s="1" t="s">
        <v>21</v>
      </c>
      <c r="C149" s="1" t="s">
        <v>994</v>
      </c>
      <c r="D149" s="4">
        <v>170</v>
      </c>
      <c r="E149" t="str">
        <f t="shared" si="5"/>
        <v>Shared</v>
      </c>
      <c r="F149" s="13" t="str">
        <f t="shared" si="4"/>
        <v>2022-06</v>
      </c>
    </row>
    <row r="150" spans="1:6" x14ac:dyDescent="0.2">
      <c r="A150" s="2">
        <v>44719</v>
      </c>
      <c r="B150" s="1" t="s">
        <v>22</v>
      </c>
      <c r="C150" s="1" t="s">
        <v>994</v>
      </c>
      <c r="D150" s="4">
        <v>525</v>
      </c>
      <c r="E150" t="str">
        <f t="shared" si="5"/>
        <v>Shared</v>
      </c>
      <c r="F150" s="13" t="str">
        <f t="shared" si="4"/>
        <v>2022-06</v>
      </c>
    </row>
    <row r="151" spans="1:6" x14ac:dyDescent="0.2">
      <c r="A151" s="2">
        <v>44720</v>
      </c>
      <c r="B151" s="1" t="s">
        <v>25</v>
      </c>
      <c r="C151" s="1" t="s">
        <v>994</v>
      </c>
      <c r="D151" s="4">
        <v>400</v>
      </c>
      <c r="E151" t="str">
        <f t="shared" si="5"/>
        <v>Shared</v>
      </c>
      <c r="F151" s="13" t="str">
        <f t="shared" si="4"/>
        <v>2022-06</v>
      </c>
    </row>
    <row r="152" spans="1:6" x14ac:dyDescent="0.2">
      <c r="A152" s="2">
        <v>44721</v>
      </c>
      <c r="B152" s="1" t="s">
        <v>23</v>
      </c>
      <c r="C152" s="1" t="s">
        <v>994</v>
      </c>
      <c r="D152" s="4">
        <v>1200</v>
      </c>
      <c r="E152" t="str">
        <f t="shared" si="5"/>
        <v>Shared</v>
      </c>
      <c r="F152" s="13" t="str">
        <f t="shared" si="4"/>
        <v>2022-06</v>
      </c>
    </row>
    <row r="153" spans="1:6" x14ac:dyDescent="0.2">
      <c r="A153" s="2">
        <v>44721</v>
      </c>
      <c r="B153" s="1" t="s">
        <v>24</v>
      </c>
      <c r="C153" s="1" t="s">
        <v>994</v>
      </c>
      <c r="D153" s="4">
        <v>345</v>
      </c>
      <c r="E153" t="str">
        <f t="shared" si="5"/>
        <v>Shared</v>
      </c>
      <c r="F153" s="13" t="str">
        <f t="shared" si="4"/>
        <v>2022-06</v>
      </c>
    </row>
    <row r="154" spans="1:6" x14ac:dyDescent="0.2">
      <c r="A154" s="2">
        <v>44721</v>
      </c>
      <c r="B154" s="1" t="s">
        <v>26</v>
      </c>
      <c r="C154" s="1" t="s">
        <v>994</v>
      </c>
      <c r="D154" s="4">
        <v>260</v>
      </c>
      <c r="E154" t="str">
        <f t="shared" si="5"/>
        <v>Shared</v>
      </c>
      <c r="F154" s="13" t="str">
        <f t="shared" si="4"/>
        <v>2022-06</v>
      </c>
    </row>
    <row r="155" spans="1:6" x14ac:dyDescent="0.2">
      <c r="A155" s="2">
        <v>44721</v>
      </c>
      <c r="B155" s="1" t="s">
        <v>27</v>
      </c>
      <c r="C155" s="1" t="s">
        <v>994</v>
      </c>
      <c r="D155" s="4">
        <v>160</v>
      </c>
      <c r="E155" t="str">
        <f t="shared" si="5"/>
        <v>Shared</v>
      </c>
      <c r="F155" s="13" t="str">
        <f t="shared" si="4"/>
        <v>2022-06</v>
      </c>
    </row>
    <row r="156" spans="1:6" x14ac:dyDescent="0.2">
      <c r="A156" s="2">
        <v>44721</v>
      </c>
      <c r="B156" s="1" t="s">
        <v>28</v>
      </c>
      <c r="C156" s="1" t="s">
        <v>994</v>
      </c>
      <c r="D156" s="4">
        <v>300</v>
      </c>
      <c r="E156" t="str">
        <f t="shared" si="5"/>
        <v>Shared</v>
      </c>
      <c r="F156" s="13" t="str">
        <f t="shared" si="4"/>
        <v>2022-06</v>
      </c>
    </row>
    <row r="157" spans="1:6" x14ac:dyDescent="0.2">
      <c r="A157" s="2">
        <v>44722</v>
      </c>
      <c r="B157" s="1" t="s">
        <v>29</v>
      </c>
      <c r="C157" s="1" t="s">
        <v>994</v>
      </c>
      <c r="D157" s="4">
        <v>1100</v>
      </c>
      <c r="E157" t="str">
        <f t="shared" si="5"/>
        <v>Shared</v>
      </c>
      <c r="F157" s="13" t="str">
        <f t="shared" si="4"/>
        <v>2022-06</v>
      </c>
    </row>
    <row r="158" spans="1:6" x14ac:dyDescent="0.2">
      <c r="A158" s="2">
        <v>44722</v>
      </c>
      <c r="B158" s="1" t="s">
        <v>28</v>
      </c>
      <c r="C158" s="1" t="s">
        <v>994</v>
      </c>
      <c r="D158" s="4">
        <v>300</v>
      </c>
      <c r="E158" t="str">
        <f t="shared" si="5"/>
        <v>Shared</v>
      </c>
      <c r="F158" s="13" t="str">
        <f t="shared" si="4"/>
        <v>2022-06</v>
      </c>
    </row>
    <row r="159" spans="1:6" x14ac:dyDescent="0.2">
      <c r="A159" s="2">
        <v>44723</v>
      </c>
      <c r="B159" s="1" t="s">
        <v>308</v>
      </c>
      <c r="C159" s="1" t="s">
        <v>295</v>
      </c>
      <c r="D159" s="4">
        <v>1200</v>
      </c>
      <c r="E159" t="str">
        <f t="shared" si="5"/>
        <v>Direct</v>
      </c>
      <c r="F159" s="13" t="str">
        <f t="shared" si="4"/>
        <v>2022-06</v>
      </c>
    </row>
    <row r="160" spans="1:6" x14ac:dyDescent="0.2">
      <c r="A160" s="2">
        <v>44723</v>
      </c>
      <c r="B160" s="1" t="s">
        <v>298</v>
      </c>
      <c r="C160" s="1" t="s">
        <v>296</v>
      </c>
      <c r="D160" s="4">
        <v>1200</v>
      </c>
      <c r="E160" t="str">
        <f t="shared" si="5"/>
        <v>Direct</v>
      </c>
      <c r="F160" s="13" t="str">
        <f t="shared" si="4"/>
        <v>2022-06</v>
      </c>
    </row>
    <row r="161" spans="1:6" x14ac:dyDescent="0.2">
      <c r="A161" s="2">
        <v>44723</v>
      </c>
      <c r="B161" s="1" t="s">
        <v>298</v>
      </c>
      <c r="C161" s="1" t="s">
        <v>297</v>
      </c>
      <c r="D161" s="4">
        <v>1200</v>
      </c>
      <c r="E161" t="str">
        <f t="shared" si="5"/>
        <v>Direct</v>
      </c>
      <c r="F161" s="13" t="str">
        <f t="shared" si="4"/>
        <v>2022-06</v>
      </c>
    </row>
    <row r="162" spans="1:6" x14ac:dyDescent="0.2">
      <c r="A162" s="2">
        <v>44725</v>
      </c>
      <c r="B162" s="1" t="s">
        <v>9</v>
      </c>
      <c r="C162" s="1" t="s">
        <v>297</v>
      </c>
      <c r="D162" s="4">
        <v>200</v>
      </c>
      <c r="E162" t="str">
        <f t="shared" si="5"/>
        <v>Direct</v>
      </c>
      <c r="F162" s="13" t="str">
        <f t="shared" si="4"/>
        <v>2022-06</v>
      </c>
    </row>
    <row r="163" spans="1:6" x14ac:dyDescent="0.2">
      <c r="A163" s="2">
        <v>44725</v>
      </c>
      <c r="B163" s="1" t="s">
        <v>9</v>
      </c>
      <c r="C163" s="1" t="s">
        <v>295</v>
      </c>
      <c r="D163" s="4">
        <v>165</v>
      </c>
      <c r="E163" t="str">
        <f t="shared" si="5"/>
        <v>Direct</v>
      </c>
      <c r="F163" s="13" t="str">
        <f t="shared" si="4"/>
        <v>2022-06</v>
      </c>
    </row>
    <row r="164" spans="1:6" x14ac:dyDescent="0.2">
      <c r="A164" s="2">
        <v>44725</v>
      </c>
      <c r="B164" s="1" t="s">
        <v>9</v>
      </c>
      <c r="C164" s="1" t="s">
        <v>296</v>
      </c>
      <c r="D164" s="4">
        <v>188</v>
      </c>
      <c r="E164" t="str">
        <f t="shared" si="5"/>
        <v>Direct</v>
      </c>
      <c r="F164" s="13" t="str">
        <f t="shared" si="4"/>
        <v>2022-06</v>
      </c>
    </row>
    <row r="165" spans="1:6" x14ac:dyDescent="0.2">
      <c r="A165" s="2">
        <v>44725</v>
      </c>
      <c r="B165" s="1" t="s">
        <v>309</v>
      </c>
      <c r="C165" s="1" t="s">
        <v>296</v>
      </c>
      <c r="D165" s="4">
        <v>1270</v>
      </c>
      <c r="E165" t="str">
        <f t="shared" si="5"/>
        <v>Direct</v>
      </c>
      <c r="F165" s="13" t="str">
        <f t="shared" si="4"/>
        <v>2022-06</v>
      </c>
    </row>
    <row r="166" spans="1:6" x14ac:dyDescent="0.2">
      <c r="A166" s="2">
        <v>44725</v>
      </c>
      <c r="B166" s="1" t="s">
        <v>30</v>
      </c>
      <c r="C166" s="1" t="s">
        <v>994</v>
      </c>
      <c r="D166" s="4">
        <v>254</v>
      </c>
      <c r="E166" t="str">
        <f t="shared" si="5"/>
        <v>Shared</v>
      </c>
      <c r="F166" s="13" t="str">
        <f t="shared" si="4"/>
        <v>2022-06</v>
      </c>
    </row>
    <row r="167" spans="1:6" x14ac:dyDescent="0.2">
      <c r="A167" s="2">
        <v>44725</v>
      </c>
      <c r="B167" s="1" t="s">
        <v>310</v>
      </c>
      <c r="C167" s="1" t="s">
        <v>296</v>
      </c>
      <c r="D167" s="4">
        <v>1100</v>
      </c>
      <c r="E167" t="str">
        <f t="shared" si="5"/>
        <v>Direct</v>
      </c>
      <c r="F167" s="13" t="str">
        <f t="shared" si="4"/>
        <v>2022-06</v>
      </c>
    </row>
    <row r="168" spans="1:6" x14ac:dyDescent="0.2">
      <c r="A168" s="2">
        <v>44725</v>
      </c>
      <c r="B168" s="1" t="s">
        <v>31</v>
      </c>
      <c r="C168" s="1" t="s">
        <v>994</v>
      </c>
      <c r="D168" s="4">
        <v>220</v>
      </c>
      <c r="E168" t="str">
        <f t="shared" si="5"/>
        <v>Shared</v>
      </c>
      <c r="F168" s="13" t="str">
        <f t="shared" si="4"/>
        <v>2022-06</v>
      </c>
    </row>
    <row r="169" spans="1:6" x14ac:dyDescent="0.2">
      <c r="A169" s="2">
        <v>44728</v>
      </c>
      <c r="B169" s="1" t="s">
        <v>5</v>
      </c>
      <c r="C169" s="1" t="s">
        <v>994</v>
      </c>
      <c r="D169" s="4">
        <v>300</v>
      </c>
      <c r="E169" t="str">
        <f t="shared" si="5"/>
        <v>Shared</v>
      </c>
      <c r="F169" s="13" t="str">
        <f t="shared" si="4"/>
        <v>2022-06</v>
      </c>
    </row>
    <row r="170" spans="1:6" x14ac:dyDescent="0.2">
      <c r="A170" s="2">
        <v>44729</v>
      </c>
      <c r="B170" s="1" t="s">
        <v>311</v>
      </c>
      <c r="C170" s="1" t="s">
        <v>295</v>
      </c>
      <c r="D170" s="4">
        <v>450</v>
      </c>
      <c r="E170" t="str">
        <f t="shared" si="5"/>
        <v>Direct</v>
      </c>
      <c r="F170" s="13" t="str">
        <f t="shared" si="4"/>
        <v>2022-06</v>
      </c>
    </row>
    <row r="171" spans="1:6" x14ac:dyDescent="0.2">
      <c r="A171" s="2">
        <v>44732</v>
      </c>
      <c r="B171" s="1" t="s">
        <v>298</v>
      </c>
      <c r="C171" s="1" t="s">
        <v>296</v>
      </c>
      <c r="D171" s="4">
        <v>1200</v>
      </c>
      <c r="E171" t="str">
        <f t="shared" si="5"/>
        <v>Direct</v>
      </c>
      <c r="F171" s="13" t="str">
        <f t="shared" si="4"/>
        <v>2022-06</v>
      </c>
    </row>
    <row r="172" spans="1:6" x14ac:dyDescent="0.2">
      <c r="A172" s="2">
        <v>44733</v>
      </c>
      <c r="B172" s="1" t="s">
        <v>9</v>
      </c>
      <c r="C172" s="1" t="s">
        <v>296</v>
      </c>
      <c r="D172" s="4">
        <v>200</v>
      </c>
      <c r="E172" t="str">
        <f t="shared" si="5"/>
        <v>Direct</v>
      </c>
      <c r="F172" s="13" t="str">
        <f t="shared" si="4"/>
        <v>2022-06</v>
      </c>
    </row>
    <row r="173" spans="1:6" x14ac:dyDescent="0.2">
      <c r="A173" s="2">
        <v>44735</v>
      </c>
      <c r="B173" s="1" t="s">
        <v>32</v>
      </c>
      <c r="C173" s="1" t="s">
        <v>994</v>
      </c>
      <c r="D173" s="4">
        <v>360</v>
      </c>
      <c r="E173" t="str">
        <f t="shared" si="5"/>
        <v>Shared</v>
      </c>
      <c r="F173" s="13" t="str">
        <f t="shared" si="4"/>
        <v>2022-06</v>
      </c>
    </row>
    <row r="174" spans="1:6" x14ac:dyDescent="0.2">
      <c r="A174" s="2">
        <v>44735</v>
      </c>
      <c r="B174" s="1" t="s">
        <v>32</v>
      </c>
      <c r="C174" s="1" t="s">
        <v>994</v>
      </c>
      <c r="D174" s="4">
        <v>360</v>
      </c>
      <c r="E174" t="str">
        <f t="shared" si="5"/>
        <v>Shared</v>
      </c>
      <c r="F174" s="13" t="str">
        <f t="shared" si="4"/>
        <v>2022-06</v>
      </c>
    </row>
    <row r="175" spans="1:6" x14ac:dyDescent="0.2">
      <c r="A175" s="2">
        <v>44737</v>
      </c>
      <c r="B175" s="1" t="s">
        <v>312</v>
      </c>
      <c r="C175" s="1" t="s">
        <v>296</v>
      </c>
      <c r="D175" s="4">
        <v>300</v>
      </c>
      <c r="E175" t="str">
        <f t="shared" si="5"/>
        <v>Direct</v>
      </c>
      <c r="F175" s="13" t="str">
        <f t="shared" si="4"/>
        <v>2022-06</v>
      </c>
    </row>
    <row r="176" spans="1:6" x14ac:dyDescent="0.2">
      <c r="A176" s="2">
        <v>44740</v>
      </c>
      <c r="B176" s="1" t="s">
        <v>298</v>
      </c>
      <c r="C176" s="1" t="s">
        <v>296</v>
      </c>
      <c r="D176" s="4">
        <v>1200</v>
      </c>
      <c r="E176" t="str">
        <f t="shared" si="5"/>
        <v>Direct</v>
      </c>
      <c r="F176" s="13" t="str">
        <f t="shared" si="4"/>
        <v>2022-06</v>
      </c>
    </row>
    <row r="177" spans="1:6" x14ac:dyDescent="0.2">
      <c r="A177" s="2">
        <v>44740</v>
      </c>
      <c r="B177" s="1" t="s">
        <v>306</v>
      </c>
      <c r="C177" s="1" t="s">
        <v>295</v>
      </c>
      <c r="D177" s="4">
        <v>800</v>
      </c>
      <c r="E177" t="str">
        <f t="shared" si="5"/>
        <v>Direct</v>
      </c>
      <c r="F177" s="13" t="str">
        <f t="shared" si="4"/>
        <v>2022-06</v>
      </c>
    </row>
    <row r="178" spans="1:6" x14ac:dyDescent="0.2">
      <c r="A178" s="2">
        <v>44740</v>
      </c>
      <c r="B178" s="1" t="s">
        <v>33</v>
      </c>
      <c r="C178" s="1" t="s">
        <v>994</v>
      </c>
      <c r="D178" s="4">
        <v>200</v>
      </c>
      <c r="E178" t="str">
        <f t="shared" si="5"/>
        <v>Shared</v>
      </c>
      <c r="F178" s="13" t="str">
        <f t="shared" si="4"/>
        <v>2022-06</v>
      </c>
    </row>
    <row r="179" spans="1:6" x14ac:dyDescent="0.2">
      <c r="A179" s="2">
        <v>44740</v>
      </c>
      <c r="B179" s="1" t="s">
        <v>9</v>
      </c>
      <c r="C179" s="1" t="s">
        <v>296</v>
      </c>
      <c r="D179" s="4">
        <v>153</v>
      </c>
      <c r="E179" t="str">
        <f t="shared" si="5"/>
        <v>Direct</v>
      </c>
      <c r="F179" s="13" t="str">
        <f t="shared" si="4"/>
        <v>2022-06</v>
      </c>
    </row>
    <row r="180" spans="1:6" x14ac:dyDescent="0.2">
      <c r="A180" s="2">
        <v>44740</v>
      </c>
      <c r="B180" s="1" t="s">
        <v>313</v>
      </c>
      <c r="C180" s="1" t="s">
        <v>295</v>
      </c>
      <c r="D180" s="4">
        <v>200</v>
      </c>
      <c r="E180" t="str">
        <f t="shared" si="5"/>
        <v>Direct</v>
      </c>
      <c r="F180" s="13" t="str">
        <f t="shared" si="4"/>
        <v>2022-06</v>
      </c>
    </row>
    <row r="181" spans="1:6" x14ac:dyDescent="0.2">
      <c r="A181" s="2">
        <v>44740</v>
      </c>
      <c r="B181" s="1" t="s">
        <v>5</v>
      </c>
      <c r="C181" s="1" t="s">
        <v>994</v>
      </c>
      <c r="D181" s="4">
        <v>200</v>
      </c>
      <c r="E181" t="str">
        <f t="shared" si="5"/>
        <v>Shared</v>
      </c>
      <c r="F181" s="13" t="str">
        <f t="shared" si="4"/>
        <v>2022-06</v>
      </c>
    </row>
    <row r="182" spans="1:6" x14ac:dyDescent="0.2">
      <c r="A182" s="2">
        <v>44742</v>
      </c>
      <c r="B182" s="1" t="s">
        <v>34</v>
      </c>
      <c r="C182" s="1" t="s">
        <v>994</v>
      </c>
      <c r="D182" s="4">
        <v>200</v>
      </c>
      <c r="E182" t="str">
        <f t="shared" si="5"/>
        <v>Shared</v>
      </c>
      <c r="F182" s="13" t="str">
        <f t="shared" si="4"/>
        <v>2022-06</v>
      </c>
    </row>
    <row r="183" spans="1:6" x14ac:dyDescent="0.2">
      <c r="A183" s="2">
        <v>44746</v>
      </c>
      <c r="B183" s="1" t="s">
        <v>997</v>
      </c>
      <c r="C183" s="1" t="s">
        <v>994</v>
      </c>
      <c r="D183" s="4">
        <v>250</v>
      </c>
      <c r="E183" t="str">
        <f t="shared" si="5"/>
        <v>Shared</v>
      </c>
      <c r="F183" s="13" t="str">
        <f t="shared" si="4"/>
        <v>2022-07</v>
      </c>
    </row>
    <row r="184" spans="1:6" x14ac:dyDescent="0.2">
      <c r="A184" s="2">
        <v>44749</v>
      </c>
      <c r="B184" s="1" t="s">
        <v>314</v>
      </c>
      <c r="C184" s="1" t="s">
        <v>295</v>
      </c>
      <c r="D184" s="4">
        <v>2000</v>
      </c>
      <c r="E184" t="str">
        <f t="shared" si="5"/>
        <v>Direct</v>
      </c>
      <c r="F184" s="13" t="str">
        <f t="shared" si="4"/>
        <v>2022-07</v>
      </c>
    </row>
    <row r="185" spans="1:6" x14ac:dyDescent="0.2">
      <c r="A185" s="2">
        <v>44749</v>
      </c>
      <c r="B185" s="1" t="s">
        <v>315</v>
      </c>
      <c r="C185" s="1" t="s">
        <v>295</v>
      </c>
      <c r="D185" s="4">
        <v>207</v>
      </c>
      <c r="E185" t="str">
        <f t="shared" si="5"/>
        <v>Direct</v>
      </c>
      <c r="F185" s="13" t="str">
        <f t="shared" si="4"/>
        <v>2022-07</v>
      </c>
    </row>
    <row r="186" spans="1:6" x14ac:dyDescent="0.2">
      <c r="A186" s="2">
        <v>44749</v>
      </c>
      <c r="B186" s="1" t="s">
        <v>316</v>
      </c>
      <c r="C186" s="1" t="s">
        <v>297</v>
      </c>
      <c r="D186" s="4">
        <v>1519</v>
      </c>
      <c r="E186" t="str">
        <f t="shared" si="5"/>
        <v>Direct</v>
      </c>
      <c r="F186" s="13" t="str">
        <f t="shared" si="4"/>
        <v>2022-07</v>
      </c>
    </row>
    <row r="187" spans="1:6" x14ac:dyDescent="0.2">
      <c r="A187" s="2">
        <v>44749</v>
      </c>
      <c r="B187" s="1" t="s">
        <v>998</v>
      </c>
      <c r="C187" s="1" t="s">
        <v>296</v>
      </c>
      <c r="D187" s="4">
        <v>3840</v>
      </c>
      <c r="E187" t="str">
        <f t="shared" si="5"/>
        <v>Direct</v>
      </c>
      <c r="F187" s="13" t="str">
        <f t="shared" si="4"/>
        <v>2022-07</v>
      </c>
    </row>
    <row r="188" spans="1:6" x14ac:dyDescent="0.2">
      <c r="A188" s="2">
        <v>44749</v>
      </c>
      <c r="B188" s="1" t="s">
        <v>318</v>
      </c>
      <c r="C188" s="1" t="s">
        <v>295</v>
      </c>
      <c r="D188" s="4">
        <v>3500</v>
      </c>
      <c r="E188" t="str">
        <f t="shared" si="5"/>
        <v>Direct</v>
      </c>
      <c r="F188" s="13" t="str">
        <f t="shared" si="4"/>
        <v>2022-07</v>
      </c>
    </row>
    <row r="189" spans="1:6" x14ac:dyDescent="0.2">
      <c r="A189" s="2">
        <v>44750</v>
      </c>
      <c r="B189" s="1" t="s">
        <v>317</v>
      </c>
      <c r="C189" s="1" t="s">
        <v>296</v>
      </c>
      <c r="D189" s="4">
        <v>300</v>
      </c>
      <c r="E189" t="str">
        <f t="shared" si="5"/>
        <v>Direct</v>
      </c>
      <c r="F189" s="13" t="str">
        <f t="shared" si="4"/>
        <v>2022-07</v>
      </c>
    </row>
    <row r="190" spans="1:6" x14ac:dyDescent="0.2">
      <c r="A190" s="2">
        <v>44750</v>
      </c>
      <c r="B190" s="1" t="s">
        <v>35</v>
      </c>
      <c r="C190" s="1" t="s">
        <v>994</v>
      </c>
      <c r="D190" s="4">
        <v>300</v>
      </c>
      <c r="E190" t="str">
        <f t="shared" si="5"/>
        <v>Shared</v>
      </c>
      <c r="F190" s="13" t="str">
        <f t="shared" si="4"/>
        <v>2022-07</v>
      </c>
    </row>
    <row r="191" spans="1:6" x14ac:dyDescent="0.2">
      <c r="A191" s="2">
        <v>44751</v>
      </c>
      <c r="B191" s="1" t="s">
        <v>319</v>
      </c>
      <c r="C191" s="1" t="s">
        <v>296</v>
      </c>
      <c r="D191" s="4">
        <v>70</v>
      </c>
      <c r="E191" t="str">
        <f t="shared" si="5"/>
        <v>Direct</v>
      </c>
      <c r="F191" s="13" t="str">
        <f t="shared" si="4"/>
        <v>2022-07</v>
      </c>
    </row>
    <row r="192" spans="1:6" x14ac:dyDescent="0.2">
      <c r="A192" s="2">
        <v>44753</v>
      </c>
      <c r="B192" s="1" t="s">
        <v>36</v>
      </c>
      <c r="C192" s="1" t="s">
        <v>994</v>
      </c>
      <c r="D192" s="4">
        <v>600</v>
      </c>
      <c r="E192" t="str">
        <f t="shared" si="5"/>
        <v>Shared</v>
      </c>
      <c r="F192" s="13" t="str">
        <f t="shared" si="4"/>
        <v>2022-07</v>
      </c>
    </row>
    <row r="193" spans="1:6" x14ac:dyDescent="0.2">
      <c r="A193" s="2">
        <v>44753</v>
      </c>
      <c r="B193" s="1" t="s">
        <v>37</v>
      </c>
      <c r="C193" s="1" t="s">
        <v>994</v>
      </c>
      <c r="D193" s="4">
        <v>252</v>
      </c>
      <c r="E193" t="str">
        <f t="shared" si="5"/>
        <v>Shared</v>
      </c>
      <c r="F193" s="13" t="str">
        <f t="shared" si="4"/>
        <v>2022-07</v>
      </c>
    </row>
    <row r="194" spans="1:6" x14ac:dyDescent="0.2">
      <c r="A194" s="2">
        <v>44753</v>
      </c>
      <c r="B194" s="1" t="s">
        <v>38</v>
      </c>
      <c r="C194" s="1" t="s">
        <v>994</v>
      </c>
      <c r="D194" s="4">
        <v>1200</v>
      </c>
      <c r="E194" t="str">
        <f t="shared" si="5"/>
        <v>Shared</v>
      </c>
      <c r="F194" s="13" t="str">
        <f t="shared" ref="F194:F257" si="6">YEAR(A194)&amp;"-"&amp;TEXT(MONTH(A194),"00")</f>
        <v>2022-07</v>
      </c>
    </row>
    <row r="195" spans="1:6" x14ac:dyDescent="0.2">
      <c r="A195" s="2">
        <v>44754</v>
      </c>
      <c r="B195" s="1" t="s">
        <v>39</v>
      </c>
      <c r="C195" s="1" t="s">
        <v>994</v>
      </c>
      <c r="D195" s="4">
        <v>30</v>
      </c>
      <c r="E195" t="str">
        <f t="shared" ref="E195:E258" si="7">IF(OR(C195="A302", C195="B303", C195="C301"), "Direct", "Shared")</f>
        <v>Shared</v>
      </c>
      <c r="F195" s="13" t="str">
        <f t="shared" si="6"/>
        <v>2022-07</v>
      </c>
    </row>
    <row r="196" spans="1:6" x14ac:dyDescent="0.2">
      <c r="A196" s="2">
        <v>44754</v>
      </c>
      <c r="B196" s="1" t="s">
        <v>40</v>
      </c>
      <c r="C196" s="1" t="s">
        <v>994</v>
      </c>
      <c r="D196" s="4">
        <v>300</v>
      </c>
      <c r="E196" t="str">
        <f t="shared" si="7"/>
        <v>Shared</v>
      </c>
      <c r="F196" s="13" t="str">
        <f t="shared" si="6"/>
        <v>2022-07</v>
      </c>
    </row>
    <row r="197" spans="1:6" x14ac:dyDescent="0.2">
      <c r="A197" s="2">
        <v>44754</v>
      </c>
      <c r="B197" s="1" t="s">
        <v>41</v>
      </c>
      <c r="C197" s="1" t="s">
        <v>994</v>
      </c>
      <c r="D197" s="4">
        <v>10</v>
      </c>
      <c r="E197" t="str">
        <f t="shared" si="7"/>
        <v>Shared</v>
      </c>
      <c r="F197" s="13" t="str">
        <f t="shared" si="6"/>
        <v>2022-07</v>
      </c>
    </row>
    <row r="198" spans="1:6" x14ac:dyDescent="0.2">
      <c r="A198" s="2">
        <v>44754</v>
      </c>
      <c r="B198" s="1" t="s">
        <v>42</v>
      </c>
      <c r="C198" s="1" t="s">
        <v>994</v>
      </c>
      <c r="D198" s="4">
        <v>28</v>
      </c>
      <c r="E198" t="str">
        <f t="shared" si="7"/>
        <v>Shared</v>
      </c>
      <c r="F198" s="13" t="str">
        <f t="shared" si="6"/>
        <v>2022-07</v>
      </c>
    </row>
    <row r="199" spans="1:6" x14ac:dyDescent="0.2">
      <c r="A199" s="2">
        <v>44754</v>
      </c>
      <c r="B199" s="1" t="s">
        <v>43</v>
      </c>
      <c r="C199" s="1" t="s">
        <v>994</v>
      </c>
      <c r="D199" s="4">
        <v>1200</v>
      </c>
      <c r="E199" t="str">
        <f t="shared" si="7"/>
        <v>Shared</v>
      </c>
      <c r="F199" s="13" t="str">
        <f t="shared" si="6"/>
        <v>2022-07</v>
      </c>
    </row>
    <row r="200" spans="1:6" x14ac:dyDescent="0.2">
      <c r="A200" s="2">
        <v>44754</v>
      </c>
      <c r="B200" s="1" t="s">
        <v>314</v>
      </c>
      <c r="C200" s="1" t="s">
        <v>295</v>
      </c>
      <c r="D200" s="4">
        <v>2000</v>
      </c>
      <c r="E200" t="str">
        <f t="shared" si="7"/>
        <v>Direct</v>
      </c>
      <c r="F200" s="13" t="str">
        <f t="shared" si="6"/>
        <v>2022-07</v>
      </c>
    </row>
    <row r="201" spans="1:6" x14ac:dyDescent="0.2">
      <c r="A201" s="2">
        <v>44754</v>
      </c>
      <c r="B201" s="1" t="s">
        <v>315</v>
      </c>
      <c r="C201" s="1" t="s">
        <v>295</v>
      </c>
      <c r="D201" s="4">
        <v>240</v>
      </c>
      <c r="E201" t="str">
        <f t="shared" si="7"/>
        <v>Direct</v>
      </c>
      <c r="F201" s="13" t="str">
        <f t="shared" si="6"/>
        <v>2022-07</v>
      </c>
    </row>
    <row r="202" spans="1:6" x14ac:dyDescent="0.2">
      <c r="A202" s="2">
        <v>44756</v>
      </c>
      <c r="B202" s="1" t="s">
        <v>306</v>
      </c>
      <c r="C202" s="1" t="s">
        <v>295</v>
      </c>
      <c r="D202" s="4">
        <v>800</v>
      </c>
      <c r="E202" t="str">
        <f t="shared" si="7"/>
        <v>Direct</v>
      </c>
      <c r="F202" s="13" t="str">
        <f t="shared" si="6"/>
        <v>2022-07</v>
      </c>
    </row>
    <row r="203" spans="1:6" x14ac:dyDescent="0.2">
      <c r="A203" s="2">
        <v>44756</v>
      </c>
      <c r="B203" s="1" t="s">
        <v>313</v>
      </c>
      <c r="C203" s="1" t="s">
        <v>295</v>
      </c>
      <c r="D203" s="4">
        <v>200</v>
      </c>
      <c r="E203" t="str">
        <f t="shared" si="7"/>
        <v>Direct</v>
      </c>
      <c r="F203" s="13" t="str">
        <f t="shared" si="6"/>
        <v>2022-07</v>
      </c>
    </row>
    <row r="204" spans="1:6" x14ac:dyDescent="0.2">
      <c r="A204" s="2">
        <v>44756</v>
      </c>
      <c r="B204" s="1" t="s">
        <v>44</v>
      </c>
      <c r="C204" s="1" t="s">
        <v>994</v>
      </c>
      <c r="D204" s="4">
        <v>299</v>
      </c>
      <c r="E204" t="str">
        <f t="shared" si="7"/>
        <v>Shared</v>
      </c>
      <c r="F204" s="13" t="str">
        <f t="shared" si="6"/>
        <v>2022-07</v>
      </c>
    </row>
    <row r="205" spans="1:6" x14ac:dyDescent="0.2">
      <c r="A205" s="2">
        <v>44756</v>
      </c>
      <c r="B205" s="1" t="s">
        <v>45</v>
      </c>
      <c r="C205" s="1" t="s">
        <v>994</v>
      </c>
      <c r="D205" s="4">
        <v>500</v>
      </c>
      <c r="E205" t="str">
        <f t="shared" si="7"/>
        <v>Shared</v>
      </c>
      <c r="F205" s="13" t="str">
        <f t="shared" si="6"/>
        <v>2022-07</v>
      </c>
    </row>
    <row r="206" spans="1:6" x14ac:dyDescent="0.2">
      <c r="A206" s="2">
        <v>44756</v>
      </c>
      <c r="B206" s="1" t="s">
        <v>46</v>
      </c>
      <c r="C206" s="1" t="s">
        <v>994</v>
      </c>
      <c r="D206" s="4">
        <v>300</v>
      </c>
      <c r="E206" t="str">
        <f t="shared" si="7"/>
        <v>Shared</v>
      </c>
      <c r="F206" s="13" t="str">
        <f t="shared" si="6"/>
        <v>2022-07</v>
      </c>
    </row>
    <row r="207" spans="1:6" x14ac:dyDescent="0.2">
      <c r="A207" s="2">
        <v>44757</v>
      </c>
      <c r="B207" s="1" t="s">
        <v>47</v>
      </c>
      <c r="C207" s="1" t="s">
        <v>994</v>
      </c>
      <c r="D207" s="4">
        <v>700</v>
      </c>
      <c r="E207" t="str">
        <f t="shared" si="7"/>
        <v>Shared</v>
      </c>
      <c r="F207" s="13" t="str">
        <f t="shared" si="6"/>
        <v>2022-07</v>
      </c>
    </row>
    <row r="208" spans="1:6" x14ac:dyDescent="0.2">
      <c r="A208" s="2">
        <v>44757</v>
      </c>
      <c r="B208" s="1" t="s">
        <v>320</v>
      </c>
      <c r="C208" s="1" t="s">
        <v>295</v>
      </c>
      <c r="D208" s="4">
        <v>75</v>
      </c>
      <c r="E208" t="str">
        <f t="shared" si="7"/>
        <v>Direct</v>
      </c>
      <c r="F208" s="13" t="str">
        <f t="shared" si="6"/>
        <v>2022-07</v>
      </c>
    </row>
    <row r="209" spans="1:6" x14ac:dyDescent="0.2">
      <c r="A209" s="2">
        <v>44757</v>
      </c>
      <c r="B209" s="1" t="s">
        <v>48</v>
      </c>
      <c r="C209" s="1" t="s">
        <v>994</v>
      </c>
      <c r="D209" s="4">
        <v>120</v>
      </c>
      <c r="E209" t="str">
        <f t="shared" si="7"/>
        <v>Shared</v>
      </c>
      <c r="F209" s="13" t="str">
        <f t="shared" si="6"/>
        <v>2022-07</v>
      </c>
    </row>
    <row r="210" spans="1:6" x14ac:dyDescent="0.2">
      <c r="A210" s="2">
        <v>44758</v>
      </c>
      <c r="B210" s="1" t="s">
        <v>49</v>
      </c>
      <c r="C210" s="1" t="s">
        <v>994</v>
      </c>
      <c r="D210" s="4">
        <v>400</v>
      </c>
      <c r="E210" t="str">
        <f t="shared" si="7"/>
        <v>Shared</v>
      </c>
      <c r="F210" s="13" t="str">
        <f t="shared" si="6"/>
        <v>2022-07</v>
      </c>
    </row>
    <row r="211" spans="1:6" x14ac:dyDescent="0.2">
      <c r="A211" s="2">
        <v>44758</v>
      </c>
      <c r="B211" s="1" t="s">
        <v>9</v>
      </c>
      <c r="C211" s="1" t="s">
        <v>295</v>
      </c>
      <c r="D211" s="4">
        <v>100</v>
      </c>
      <c r="E211" t="str">
        <f t="shared" si="7"/>
        <v>Direct</v>
      </c>
      <c r="F211" s="13" t="str">
        <f t="shared" si="6"/>
        <v>2022-07</v>
      </c>
    </row>
    <row r="212" spans="1:6" x14ac:dyDescent="0.2">
      <c r="A212" s="2">
        <v>44760</v>
      </c>
      <c r="B212" s="1" t="s">
        <v>321</v>
      </c>
      <c r="C212" s="1" t="s">
        <v>296</v>
      </c>
      <c r="D212" s="4">
        <v>4611</v>
      </c>
      <c r="E212" t="str">
        <f t="shared" si="7"/>
        <v>Direct</v>
      </c>
      <c r="F212" s="13" t="str">
        <f t="shared" si="6"/>
        <v>2022-07</v>
      </c>
    </row>
    <row r="213" spans="1:6" x14ac:dyDescent="0.2">
      <c r="A213" s="2">
        <v>44760</v>
      </c>
      <c r="B213" s="1" t="s">
        <v>999</v>
      </c>
      <c r="C213" s="1" t="s">
        <v>296</v>
      </c>
      <c r="D213" s="4">
        <v>2200</v>
      </c>
      <c r="E213" t="str">
        <f t="shared" si="7"/>
        <v>Direct</v>
      </c>
      <c r="F213" s="13" t="str">
        <f t="shared" si="6"/>
        <v>2022-07</v>
      </c>
    </row>
    <row r="214" spans="1:6" x14ac:dyDescent="0.2">
      <c r="A214" s="2">
        <v>44760</v>
      </c>
      <c r="B214" s="1" t="s">
        <v>1000</v>
      </c>
      <c r="C214" s="1" t="s">
        <v>296</v>
      </c>
      <c r="D214" s="4">
        <v>650</v>
      </c>
      <c r="E214" t="str">
        <f t="shared" si="7"/>
        <v>Direct</v>
      </c>
      <c r="F214" s="13" t="str">
        <f t="shared" si="6"/>
        <v>2022-07</v>
      </c>
    </row>
    <row r="215" spans="1:6" x14ac:dyDescent="0.2">
      <c r="A215" s="2">
        <v>44760</v>
      </c>
      <c r="B215" s="1" t="s">
        <v>1001</v>
      </c>
      <c r="C215" s="1" t="s">
        <v>296</v>
      </c>
      <c r="D215" s="4">
        <v>1490</v>
      </c>
      <c r="E215" t="str">
        <f t="shared" si="7"/>
        <v>Direct</v>
      </c>
      <c r="F215" s="13" t="str">
        <f t="shared" si="6"/>
        <v>2022-07</v>
      </c>
    </row>
    <row r="216" spans="1:6" x14ac:dyDescent="0.2">
      <c r="A216" s="2">
        <v>44760</v>
      </c>
      <c r="B216" s="1" t="s">
        <v>9</v>
      </c>
      <c r="C216" s="1" t="s">
        <v>296</v>
      </c>
      <c r="D216" s="4">
        <v>60</v>
      </c>
      <c r="E216" t="str">
        <f t="shared" si="7"/>
        <v>Direct</v>
      </c>
      <c r="F216" s="13" t="str">
        <f t="shared" si="6"/>
        <v>2022-07</v>
      </c>
    </row>
    <row r="217" spans="1:6" x14ac:dyDescent="0.2">
      <c r="A217" s="2">
        <v>44760</v>
      </c>
      <c r="B217" s="1" t="s">
        <v>317</v>
      </c>
      <c r="C217" s="1" t="s">
        <v>296</v>
      </c>
      <c r="D217" s="4">
        <v>500</v>
      </c>
      <c r="E217" t="str">
        <f t="shared" si="7"/>
        <v>Direct</v>
      </c>
      <c r="F217" s="13" t="str">
        <f t="shared" si="6"/>
        <v>2022-07</v>
      </c>
    </row>
    <row r="218" spans="1:6" x14ac:dyDescent="0.2">
      <c r="A218" s="2">
        <v>44761</v>
      </c>
      <c r="B218" s="1" t="s">
        <v>314</v>
      </c>
      <c r="C218" s="1" t="s">
        <v>295</v>
      </c>
      <c r="D218" s="4">
        <v>2000</v>
      </c>
      <c r="E218" t="str">
        <f t="shared" si="7"/>
        <v>Direct</v>
      </c>
      <c r="F218" s="13" t="str">
        <f t="shared" si="6"/>
        <v>2022-07</v>
      </c>
    </row>
    <row r="219" spans="1:6" x14ac:dyDescent="0.2">
      <c r="A219" s="2">
        <v>44761</v>
      </c>
      <c r="B219" s="1" t="s">
        <v>315</v>
      </c>
      <c r="C219" s="1" t="s">
        <v>295</v>
      </c>
      <c r="D219" s="4">
        <v>240</v>
      </c>
      <c r="E219" t="str">
        <f t="shared" si="7"/>
        <v>Direct</v>
      </c>
      <c r="F219" s="13" t="str">
        <f t="shared" si="6"/>
        <v>2022-07</v>
      </c>
    </row>
    <row r="220" spans="1:6" x14ac:dyDescent="0.2">
      <c r="A220" s="2">
        <v>44764</v>
      </c>
      <c r="B220" s="1" t="s">
        <v>322</v>
      </c>
      <c r="C220" s="1" t="s">
        <v>296</v>
      </c>
      <c r="D220" s="4">
        <v>80</v>
      </c>
      <c r="E220" t="str">
        <f t="shared" si="7"/>
        <v>Direct</v>
      </c>
      <c r="F220" s="13" t="str">
        <f t="shared" si="6"/>
        <v>2022-07</v>
      </c>
    </row>
    <row r="221" spans="1:6" x14ac:dyDescent="0.2">
      <c r="A221" s="2">
        <v>44765</v>
      </c>
      <c r="B221" s="1" t="s">
        <v>323</v>
      </c>
      <c r="C221" s="1" t="s">
        <v>295</v>
      </c>
      <c r="D221" s="4">
        <v>450</v>
      </c>
      <c r="E221" t="str">
        <f t="shared" si="7"/>
        <v>Direct</v>
      </c>
      <c r="F221" s="13" t="str">
        <f t="shared" si="6"/>
        <v>2022-07</v>
      </c>
    </row>
    <row r="222" spans="1:6" x14ac:dyDescent="0.2">
      <c r="A222" s="2">
        <v>44767</v>
      </c>
      <c r="B222" s="1" t="s">
        <v>324</v>
      </c>
      <c r="C222" s="1" t="s">
        <v>296</v>
      </c>
      <c r="D222" s="4">
        <v>1000</v>
      </c>
      <c r="E222" t="str">
        <f t="shared" si="7"/>
        <v>Direct</v>
      </c>
      <c r="F222" s="13" t="str">
        <f t="shared" si="6"/>
        <v>2022-07</v>
      </c>
    </row>
    <row r="223" spans="1:6" x14ac:dyDescent="0.2">
      <c r="A223" s="2">
        <v>44769</v>
      </c>
      <c r="B223" s="1" t="s">
        <v>325</v>
      </c>
      <c r="C223" s="1" t="s">
        <v>295</v>
      </c>
      <c r="D223" s="4">
        <v>1200</v>
      </c>
      <c r="E223" t="str">
        <f t="shared" si="7"/>
        <v>Direct</v>
      </c>
      <c r="F223" s="13" t="str">
        <f t="shared" si="6"/>
        <v>2022-07</v>
      </c>
    </row>
    <row r="224" spans="1:6" x14ac:dyDescent="0.2">
      <c r="A224" s="2">
        <v>44769</v>
      </c>
      <c r="B224" s="1" t="s">
        <v>9</v>
      </c>
      <c r="C224" s="1" t="s">
        <v>295</v>
      </c>
      <c r="D224" s="4">
        <v>154</v>
      </c>
      <c r="E224" t="str">
        <f t="shared" si="7"/>
        <v>Direct</v>
      </c>
      <c r="F224" s="13" t="str">
        <f t="shared" si="6"/>
        <v>2022-07</v>
      </c>
    </row>
    <row r="225" spans="1:6" x14ac:dyDescent="0.2">
      <c r="A225" s="2">
        <v>44770</v>
      </c>
      <c r="B225" s="1" t="s">
        <v>5</v>
      </c>
      <c r="C225" s="1" t="s">
        <v>994</v>
      </c>
      <c r="D225" s="4">
        <v>2400</v>
      </c>
      <c r="E225" t="str">
        <f t="shared" si="7"/>
        <v>Shared</v>
      </c>
      <c r="F225" s="13" t="str">
        <f t="shared" si="6"/>
        <v>2022-07</v>
      </c>
    </row>
    <row r="226" spans="1:6" x14ac:dyDescent="0.2">
      <c r="A226" s="2">
        <v>44770</v>
      </c>
      <c r="B226" s="1" t="s">
        <v>50</v>
      </c>
      <c r="C226" s="1" t="s">
        <v>994</v>
      </c>
      <c r="D226" s="4">
        <v>1000</v>
      </c>
      <c r="E226" t="str">
        <f t="shared" si="7"/>
        <v>Shared</v>
      </c>
      <c r="F226" s="13" t="str">
        <f t="shared" si="6"/>
        <v>2022-07</v>
      </c>
    </row>
    <row r="227" spans="1:6" x14ac:dyDescent="0.2">
      <c r="A227" s="2">
        <v>44770</v>
      </c>
      <c r="B227" s="1" t="s">
        <v>51</v>
      </c>
      <c r="C227" s="1" t="s">
        <v>994</v>
      </c>
      <c r="D227" s="4">
        <v>600</v>
      </c>
      <c r="E227" t="str">
        <f t="shared" si="7"/>
        <v>Shared</v>
      </c>
      <c r="F227" s="13" t="str">
        <f t="shared" si="6"/>
        <v>2022-07</v>
      </c>
    </row>
    <row r="228" spans="1:6" x14ac:dyDescent="0.2">
      <c r="A228" s="2">
        <v>44771</v>
      </c>
      <c r="B228" s="1" t="s">
        <v>1002</v>
      </c>
      <c r="C228" s="1" t="s">
        <v>297</v>
      </c>
      <c r="D228" s="4">
        <v>2100</v>
      </c>
      <c r="E228" t="str">
        <f t="shared" si="7"/>
        <v>Direct</v>
      </c>
      <c r="F228" s="13" t="str">
        <f t="shared" si="6"/>
        <v>2022-07</v>
      </c>
    </row>
    <row r="229" spans="1:6" x14ac:dyDescent="0.2">
      <c r="A229" s="2">
        <v>44771</v>
      </c>
      <c r="B229" s="1" t="s">
        <v>1003</v>
      </c>
      <c r="C229" s="1" t="s">
        <v>297</v>
      </c>
      <c r="D229" s="4">
        <v>420</v>
      </c>
      <c r="E229" t="str">
        <f t="shared" si="7"/>
        <v>Direct</v>
      </c>
      <c r="F229" s="13" t="str">
        <f t="shared" si="6"/>
        <v>2022-07</v>
      </c>
    </row>
    <row r="230" spans="1:6" x14ac:dyDescent="0.2">
      <c r="A230" s="2">
        <v>44771</v>
      </c>
      <c r="B230" s="1" t="s">
        <v>326</v>
      </c>
      <c r="C230" s="1" t="s">
        <v>297</v>
      </c>
      <c r="D230" s="4">
        <v>1570</v>
      </c>
      <c r="E230" t="str">
        <f t="shared" si="7"/>
        <v>Direct</v>
      </c>
      <c r="F230" s="13" t="str">
        <f t="shared" si="6"/>
        <v>2022-07</v>
      </c>
    </row>
    <row r="231" spans="1:6" x14ac:dyDescent="0.2">
      <c r="A231" s="2">
        <v>44771</v>
      </c>
      <c r="B231" s="1" t="s">
        <v>327</v>
      </c>
      <c r="C231" s="1" t="s">
        <v>297</v>
      </c>
      <c r="D231" s="4">
        <v>1800</v>
      </c>
      <c r="E231" t="str">
        <f t="shared" si="7"/>
        <v>Direct</v>
      </c>
      <c r="F231" s="13" t="str">
        <f t="shared" si="6"/>
        <v>2022-07</v>
      </c>
    </row>
    <row r="232" spans="1:6" x14ac:dyDescent="0.2">
      <c r="A232" s="2">
        <v>44771</v>
      </c>
      <c r="B232" s="1" t="s">
        <v>328</v>
      </c>
      <c r="C232" s="1" t="s">
        <v>297</v>
      </c>
      <c r="D232" s="4">
        <v>674</v>
      </c>
      <c r="E232" t="str">
        <f t="shared" si="7"/>
        <v>Direct</v>
      </c>
      <c r="F232" s="13" t="str">
        <f t="shared" si="6"/>
        <v>2022-07</v>
      </c>
    </row>
    <row r="233" spans="1:6" x14ac:dyDescent="0.2">
      <c r="A233" s="2">
        <v>44771</v>
      </c>
      <c r="B233" s="1" t="s">
        <v>329</v>
      </c>
      <c r="C233" s="1" t="s">
        <v>297</v>
      </c>
      <c r="D233" s="4">
        <v>1000</v>
      </c>
      <c r="E233" t="str">
        <f t="shared" si="7"/>
        <v>Direct</v>
      </c>
      <c r="F233" s="13" t="str">
        <f t="shared" si="6"/>
        <v>2022-07</v>
      </c>
    </row>
    <row r="234" spans="1:6" x14ac:dyDescent="0.2">
      <c r="A234" s="2">
        <v>44771</v>
      </c>
      <c r="B234" s="1" t="s">
        <v>330</v>
      </c>
      <c r="C234" s="1" t="s">
        <v>297</v>
      </c>
      <c r="D234" s="4">
        <v>250</v>
      </c>
      <c r="E234" t="str">
        <f t="shared" si="7"/>
        <v>Direct</v>
      </c>
      <c r="F234" s="13" t="str">
        <f t="shared" si="6"/>
        <v>2022-07</v>
      </c>
    </row>
    <row r="235" spans="1:6" x14ac:dyDescent="0.2">
      <c r="A235" s="2">
        <v>44771</v>
      </c>
      <c r="B235" s="1" t="s">
        <v>331</v>
      </c>
      <c r="C235" s="1" t="s">
        <v>297</v>
      </c>
      <c r="D235" s="4">
        <v>250</v>
      </c>
      <c r="E235" t="str">
        <f t="shared" si="7"/>
        <v>Direct</v>
      </c>
      <c r="F235" s="13" t="str">
        <f t="shared" si="6"/>
        <v>2022-07</v>
      </c>
    </row>
    <row r="236" spans="1:6" x14ac:dyDescent="0.2">
      <c r="A236" s="2">
        <v>44771</v>
      </c>
      <c r="B236" s="1" t="s">
        <v>1004</v>
      </c>
      <c r="C236" s="1" t="s">
        <v>297</v>
      </c>
      <c r="D236" s="4">
        <v>950</v>
      </c>
      <c r="E236" t="str">
        <f t="shared" si="7"/>
        <v>Direct</v>
      </c>
      <c r="F236" s="13" t="str">
        <f t="shared" si="6"/>
        <v>2022-07</v>
      </c>
    </row>
    <row r="237" spans="1:6" x14ac:dyDescent="0.2">
      <c r="A237" s="2">
        <v>44774</v>
      </c>
      <c r="B237" s="1" t="s">
        <v>1005</v>
      </c>
      <c r="C237" s="1" t="s">
        <v>297</v>
      </c>
      <c r="D237" s="4">
        <v>3600</v>
      </c>
      <c r="E237" t="str">
        <f t="shared" si="7"/>
        <v>Direct</v>
      </c>
      <c r="F237" s="13" t="str">
        <f t="shared" si="6"/>
        <v>2022-08</v>
      </c>
    </row>
    <row r="238" spans="1:6" x14ac:dyDescent="0.2">
      <c r="A238" s="2">
        <v>44774</v>
      </c>
      <c r="B238" s="1" t="s">
        <v>332</v>
      </c>
      <c r="C238" s="1" t="s">
        <v>297</v>
      </c>
      <c r="D238" s="4">
        <v>720</v>
      </c>
      <c r="E238" t="str">
        <f t="shared" si="7"/>
        <v>Direct</v>
      </c>
      <c r="F238" s="13" t="str">
        <f t="shared" si="6"/>
        <v>2022-08</v>
      </c>
    </row>
    <row r="239" spans="1:6" x14ac:dyDescent="0.2">
      <c r="A239" s="2">
        <v>44774</v>
      </c>
      <c r="B239" s="1" t="s">
        <v>333</v>
      </c>
      <c r="C239" s="1" t="s">
        <v>297</v>
      </c>
      <c r="D239" s="4">
        <v>1000</v>
      </c>
      <c r="E239" t="str">
        <f t="shared" si="7"/>
        <v>Direct</v>
      </c>
      <c r="F239" s="13" t="str">
        <f t="shared" si="6"/>
        <v>2022-08</v>
      </c>
    </row>
    <row r="240" spans="1:6" x14ac:dyDescent="0.2">
      <c r="A240" s="2">
        <v>44774</v>
      </c>
      <c r="B240" s="1" t="s">
        <v>337</v>
      </c>
      <c r="C240" s="1" t="s">
        <v>297</v>
      </c>
      <c r="D240" s="4">
        <v>430</v>
      </c>
      <c r="E240" t="str">
        <f t="shared" si="7"/>
        <v>Direct</v>
      </c>
      <c r="F240" s="13" t="str">
        <f t="shared" si="6"/>
        <v>2022-08</v>
      </c>
    </row>
    <row r="241" spans="1:6" x14ac:dyDescent="0.2">
      <c r="A241" s="2">
        <v>44774</v>
      </c>
      <c r="B241" s="1" t="s">
        <v>9</v>
      </c>
      <c r="C241" s="1" t="s">
        <v>296</v>
      </c>
      <c r="D241" s="4">
        <v>206</v>
      </c>
      <c r="E241" t="str">
        <f t="shared" si="7"/>
        <v>Direct</v>
      </c>
      <c r="F241" s="13" t="str">
        <f t="shared" si="6"/>
        <v>2022-08</v>
      </c>
    </row>
    <row r="242" spans="1:6" x14ac:dyDescent="0.2">
      <c r="A242" s="2">
        <v>44775</v>
      </c>
      <c r="B242" s="1" t="s">
        <v>334</v>
      </c>
      <c r="C242" s="1" t="s">
        <v>296</v>
      </c>
      <c r="D242" s="4">
        <v>1710</v>
      </c>
      <c r="E242" t="str">
        <f t="shared" si="7"/>
        <v>Direct</v>
      </c>
      <c r="F242" s="13" t="str">
        <f t="shared" si="6"/>
        <v>2022-08</v>
      </c>
    </row>
    <row r="243" spans="1:6" x14ac:dyDescent="0.2">
      <c r="A243" s="2">
        <v>44775</v>
      </c>
      <c r="B243" s="1" t="s">
        <v>335</v>
      </c>
      <c r="C243" s="1" t="s">
        <v>296</v>
      </c>
      <c r="D243" s="4">
        <v>3000</v>
      </c>
      <c r="E243" t="str">
        <f t="shared" si="7"/>
        <v>Direct</v>
      </c>
      <c r="F243" s="13" t="str">
        <f t="shared" si="6"/>
        <v>2022-08</v>
      </c>
    </row>
    <row r="244" spans="1:6" x14ac:dyDescent="0.2">
      <c r="A244" s="2">
        <v>44775</v>
      </c>
      <c r="B244" s="1" t="s">
        <v>336</v>
      </c>
      <c r="C244" s="1" t="s">
        <v>296</v>
      </c>
      <c r="D244" s="4">
        <v>942</v>
      </c>
      <c r="E244" t="str">
        <f t="shared" si="7"/>
        <v>Direct</v>
      </c>
      <c r="F244" s="13" t="str">
        <f t="shared" si="6"/>
        <v>2022-08</v>
      </c>
    </row>
    <row r="245" spans="1:6" x14ac:dyDescent="0.2">
      <c r="A245" s="2">
        <v>44775</v>
      </c>
      <c r="B245" s="1" t="s">
        <v>298</v>
      </c>
      <c r="C245" s="1" t="s">
        <v>295</v>
      </c>
      <c r="D245" s="4">
        <v>1200</v>
      </c>
      <c r="E245" t="str">
        <f t="shared" si="7"/>
        <v>Direct</v>
      </c>
      <c r="F245" s="13" t="str">
        <f t="shared" si="6"/>
        <v>2022-08</v>
      </c>
    </row>
    <row r="246" spans="1:6" x14ac:dyDescent="0.2">
      <c r="A246" s="2">
        <v>44775</v>
      </c>
      <c r="B246" s="1" t="s">
        <v>338</v>
      </c>
      <c r="C246" s="1" t="s">
        <v>295</v>
      </c>
      <c r="D246" s="4">
        <v>80</v>
      </c>
      <c r="E246" t="str">
        <f t="shared" si="7"/>
        <v>Direct</v>
      </c>
      <c r="F246" s="13" t="str">
        <f t="shared" si="6"/>
        <v>2022-08</v>
      </c>
    </row>
    <row r="247" spans="1:6" x14ac:dyDescent="0.2">
      <c r="A247" s="2">
        <v>44775</v>
      </c>
      <c r="B247" s="1" t="s">
        <v>339</v>
      </c>
      <c r="C247" s="1" t="s">
        <v>297</v>
      </c>
      <c r="D247" s="4">
        <v>120</v>
      </c>
      <c r="E247" t="str">
        <f t="shared" si="7"/>
        <v>Direct</v>
      </c>
      <c r="F247" s="13" t="str">
        <f t="shared" si="6"/>
        <v>2022-08</v>
      </c>
    </row>
    <row r="248" spans="1:6" x14ac:dyDescent="0.2">
      <c r="A248" s="2">
        <v>44775</v>
      </c>
      <c r="B248" s="1" t="s">
        <v>298</v>
      </c>
      <c r="C248" s="1" t="s">
        <v>296</v>
      </c>
      <c r="D248" s="4">
        <v>1200</v>
      </c>
      <c r="E248" t="str">
        <f t="shared" si="7"/>
        <v>Direct</v>
      </c>
      <c r="F248" s="13" t="str">
        <f t="shared" si="6"/>
        <v>2022-08</v>
      </c>
    </row>
    <row r="249" spans="1:6" x14ac:dyDescent="0.2">
      <c r="A249" s="2">
        <v>44775</v>
      </c>
      <c r="B249" s="1" t="s">
        <v>340</v>
      </c>
      <c r="C249" s="1" t="s">
        <v>296</v>
      </c>
      <c r="D249" s="4">
        <v>600</v>
      </c>
      <c r="E249" t="str">
        <f t="shared" si="7"/>
        <v>Direct</v>
      </c>
      <c r="F249" s="13" t="str">
        <f t="shared" si="6"/>
        <v>2022-08</v>
      </c>
    </row>
    <row r="250" spans="1:6" x14ac:dyDescent="0.2">
      <c r="A250" s="2">
        <v>44775</v>
      </c>
      <c r="B250" s="1" t="s">
        <v>9</v>
      </c>
      <c r="C250" s="1" t="s">
        <v>296</v>
      </c>
      <c r="D250" s="4">
        <v>400</v>
      </c>
      <c r="E250" t="str">
        <f t="shared" si="7"/>
        <v>Direct</v>
      </c>
      <c r="F250" s="13" t="str">
        <f t="shared" si="6"/>
        <v>2022-08</v>
      </c>
    </row>
    <row r="251" spans="1:6" x14ac:dyDescent="0.2">
      <c r="A251" s="2">
        <v>44775</v>
      </c>
      <c r="B251" s="1" t="s">
        <v>341</v>
      </c>
      <c r="C251" s="1" t="s">
        <v>297</v>
      </c>
      <c r="D251" s="4">
        <v>5200</v>
      </c>
      <c r="E251" t="str">
        <f t="shared" si="7"/>
        <v>Direct</v>
      </c>
      <c r="F251" s="13" t="str">
        <f t="shared" si="6"/>
        <v>2022-08</v>
      </c>
    </row>
    <row r="252" spans="1:6" x14ac:dyDescent="0.2">
      <c r="A252" s="2">
        <v>44775</v>
      </c>
      <c r="B252" s="1" t="s">
        <v>52</v>
      </c>
      <c r="C252" s="1" t="s">
        <v>994</v>
      </c>
      <c r="D252" s="4">
        <v>1763</v>
      </c>
      <c r="E252" t="str">
        <f t="shared" si="7"/>
        <v>Shared</v>
      </c>
      <c r="F252" s="13" t="str">
        <f t="shared" si="6"/>
        <v>2022-08</v>
      </c>
    </row>
    <row r="253" spans="1:6" x14ac:dyDescent="0.2">
      <c r="A253" s="2">
        <v>44775</v>
      </c>
      <c r="B253" s="1" t="s">
        <v>91</v>
      </c>
      <c r="C253" s="1" t="s">
        <v>297</v>
      </c>
      <c r="D253" s="4">
        <v>300</v>
      </c>
      <c r="E253" t="str">
        <f t="shared" si="7"/>
        <v>Direct</v>
      </c>
      <c r="F253" s="13" t="str">
        <f t="shared" si="6"/>
        <v>2022-08</v>
      </c>
    </row>
    <row r="254" spans="1:6" x14ac:dyDescent="0.2">
      <c r="A254" s="2">
        <v>44776</v>
      </c>
      <c r="B254" s="1" t="s">
        <v>1006</v>
      </c>
      <c r="C254" s="1" t="s">
        <v>994</v>
      </c>
      <c r="D254" s="4">
        <v>1100</v>
      </c>
      <c r="E254" t="str">
        <f t="shared" si="7"/>
        <v>Shared</v>
      </c>
      <c r="F254" s="13" t="str">
        <f t="shared" si="6"/>
        <v>2022-08</v>
      </c>
    </row>
    <row r="255" spans="1:6" x14ac:dyDescent="0.2">
      <c r="A255" s="2">
        <v>44776</v>
      </c>
      <c r="B255" s="1" t="s">
        <v>53</v>
      </c>
      <c r="C255" s="1" t="s">
        <v>994</v>
      </c>
      <c r="D255" s="4">
        <v>465</v>
      </c>
      <c r="E255" t="str">
        <f t="shared" si="7"/>
        <v>Shared</v>
      </c>
      <c r="F255" s="13" t="str">
        <f t="shared" si="6"/>
        <v>2022-08</v>
      </c>
    </row>
    <row r="256" spans="1:6" x14ac:dyDescent="0.2">
      <c r="A256" s="2">
        <v>44776</v>
      </c>
      <c r="B256" s="1" t="s">
        <v>54</v>
      </c>
      <c r="C256" s="1" t="s">
        <v>994</v>
      </c>
      <c r="D256" s="4">
        <v>500</v>
      </c>
      <c r="E256" t="str">
        <f t="shared" si="7"/>
        <v>Shared</v>
      </c>
      <c r="F256" s="13" t="str">
        <f t="shared" si="6"/>
        <v>2022-08</v>
      </c>
    </row>
    <row r="257" spans="1:6" x14ac:dyDescent="0.2">
      <c r="A257" s="2">
        <v>44778</v>
      </c>
      <c r="B257" s="1" t="s">
        <v>55</v>
      </c>
      <c r="C257" s="1" t="s">
        <v>994</v>
      </c>
      <c r="D257" s="4">
        <v>30</v>
      </c>
      <c r="E257" t="str">
        <f t="shared" si="7"/>
        <v>Shared</v>
      </c>
      <c r="F257" s="13" t="str">
        <f t="shared" si="6"/>
        <v>2022-08</v>
      </c>
    </row>
    <row r="258" spans="1:6" x14ac:dyDescent="0.2">
      <c r="A258" s="2">
        <v>44778</v>
      </c>
      <c r="B258" s="1" t="s">
        <v>342</v>
      </c>
      <c r="C258" s="1" t="s">
        <v>297</v>
      </c>
      <c r="D258" s="4">
        <v>1800</v>
      </c>
      <c r="E258" t="str">
        <f t="shared" si="7"/>
        <v>Direct</v>
      </c>
      <c r="F258" s="13" t="str">
        <f t="shared" ref="F258:F321" si="8">YEAR(A258)&amp;"-"&amp;TEXT(MONTH(A258),"00")</f>
        <v>2022-08</v>
      </c>
    </row>
    <row r="259" spans="1:6" x14ac:dyDescent="0.2">
      <c r="A259" s="2">
        <v>44779</v>
      </c>
      <c r="B259" s="1" t="s">
        <v>343</v>
      </c>
      <c r="C259" s="1" t="s">
        <v>296</v>
      </c>
      <c r="D259" s="4">
        <v>350</v>
      </c>
      <c r="E259" t="str">
        <f t="shared" ref="E259:E322" si="9">IF(OR(C259="A302", C259="B303", C259="C301"), "Direct", "Shared")</f>
        <v>Direct</v>
      </c>
      <c r="F259" s="13" t="str">
        <f t="shared" si="8"/>
        <v>2022-08</v>
      </c>
    </row>
    <row r="260" spans="1:6" x14ac:dyDescent="0.2">
      <c r="A260" s="2">
        <v>44779</v>
      </c>
      <c r="B260" s="1" t="s">
        <v>344</v>
      </c>
      <c r="C260" s="1" t="s">
        <v>297</v>
      </c>
      <c r="D260" s="4">
        <v>3350</v>
      </c>
      <c r="E260" t="str">
        <f t="shared" si="9"/>
        <v>Direct</v>
      </c>
      <c r="F260" s="13" t="str">
        <f t="shared" si="8"/>
        <v>2022-08</v>
      </c>
    </row>
    <row r="261" spans="1:6" x14ac:dyDescent="0.2">
      <c r="A261" s="2">
        <v>44779</v>
      </c>
      <c r="B261" s="1" t="s">
        <v>345</v>
      </c>
      <c r="C261" s="1" t="s">
        <v>297</v>
      </c>
      <c r="D261" s="4">
        <v>3112</v>
      </c>
      <c r="E261" t="str">
        <f t="shared" si="9"/>
        <v>Direct</v>
      </c>
      <c r="F261" s="13" t="str">
        <f t="shared" si="8"/>
        <v>2022-08</v>
      </c>
    </row>
    <row r="262" spans="1:6" x14ac:dyDescent="0.2">
      <c r="A262" s="2">
        <v>44779</v>
      </c>
      <c r="B262" s="1" t="s">
        <v>1007</v>
      </c>
      <c r="C262" s="1" t="s">
        <v>297</v>
      </c>
      <c r="D262" s="4">
        <v>2200</v>
      </c>
      <c r="E262" t="str">
        <f t="shared" si="9"/>
        <v>Direct</v>
      </c>
      <c r="F262" s="13" t="str">
        <f t="shared" si="8"/>
        <v>2022-08</v>
      </c>
    </row>
    <row r="263" spans="1:6" x14ac:dyDescent="0.2">
      <c r="A263" s="2">
        <v>44779</v>
      </c>
      <c r="B263" s="1" t="s">
        <v>1008</v>
      </c>
      <c r="C263" s="1" t="s">
        <v>297</v>
      </c>
      <c r="D263" s="4">
        <v>420</v>
      </c>
      <c r="E263" t="str">
        <f t="shared" si="9"/>
        <v>Direct</v>
      </c>
      <c r="F263" s="13" t="str">
        <f t="shared" si="8"/>
        <v>2022-08</v>
      </c>
    </row>
    <row r="264" spans="1:6" x14ac:dyDescent="0.2">
      <c r="A264" s="2">
        <v>44779</v>
      </c>
      <c r="B264" s="1" t="s">
        <v>346</v>
      </c>
      <c r="C264" s="1" t="s">
        <v>297</v>
      </c>
      <c r="D264" s="4">
        <v>1816</v>
      </c>
      <c r="E264" t="str">
        <f t="shared" si="9"/>
        <v>Direct</v>
      </c>
      <c r="F264" s="13" t="str">
        <f t="shared" si="8"/>
        <v>2022-08</v>
      </c>
    </row>
    <row r="265" spans="1:6" x14ac:dyDescent="0.2">
      <c r="A265" s="2">
        <v>44779</v>
      </c>
      <c r="B265" s="1" t="s">
        <v>347</v>
      </c>
      <c r="C265" s="1" t="s">
        <v>297</v>
      </c>
      <c r="D265" s="4">
        <v>1694</v>
      </c>
      <c r="E265" t="str">
        <f t="shared" si="9"/>
        <v>Direct</v>
      </c>
      <c r="F265" s="13" t="str">
        <f t="shared" si="8"/>
        <v>2022-08</v>
      </c>
    </row>
    <row r="266" spans="1:6" x14ac:dyDescent="0.2">
      <c r="A266" s="2">
        <v>44779</v>
      </c>
      <c r="B266" s="1" t="s">
        <v>1009</v>
      </c>
      <c r="C266" s="1" t="s">
        <v>994</v>
      </c>
      <c r="D266" s="4">
        <v>134</v>
      </c>
      <c r="E266" t="str">
        <f t="shared" si="9"/>
        <v>Shared</v>
      </c>
      <c r="F266" s="13" t="str">
        <f t="shared" si="8"/>
        <v>2022-08</v>
      </c>
    </row>
    <row r="267" spans="1:6" x14ac:dyDescent="0.2">
      <c r="A267" s="2">
        <v>44781</v>
      </c>
      <c r="B267" s="1" t="s">
        <v>298</v>
      </c>
      <c r="C267" s="1" t="s">
        <v>295</v>
      </c>
      <c r="D267" s="4">
        <v>1200</v>
      </c>
      <c r="E267" t="str">
        <f t="shared" si="9"/>
        <v>Direct</v>
      </c>
      <c r="F267" s="13" t="str">
        <f t="shared" si="8"/>
        <v>2022-08</v>
      </c>
    </row>
    <row r="268" spans="1:6" x14ac:dyDescent="0.2">
      <c r="A268" s="2">
        <v>44781</v>
      </c>
      <c r="B268" s="1" t="s">
        <v>56</v>
      </c>
      <c r="C268" s="1" t="s">
        <v>994</v>
      </c>
      <c r="D268" s="4">
        <v>876</v>
      </c>
      <c r="E268" t="str">
        <f t="shared" si="9"/>
        <v>Shared</v>
      </c>
      <c r="F268" s="13" t="str">
        <f t="shared" si="8"/>
        <v>2022-08</v>
      </c>
    </row>
    <row r="269" spans="1:6" x14ac:dyDescent="0.2">
      <c r="A269" s="2">
        <v>44781</v>
      </c>
      <c r="B269" s="1" t="s">
        <v>298</v>
      </c>
      <c r="C269" s="1" t="s">
        <v>296</v>
      </c>
      <c r="D269" s="4">
        <v>1200</v>
      </c>
      <c r="E269" t="str">
        <f t="shared" si="9"/>
        <v>Direct</v>
      </c>
      <c r="F269" s="13" t="str">
        <f t="shared" si="8"/>
        <v>2022-08</v>
      </c>
    </row>
    <row r="270" spans="1:6" x14ac:dyDescent="0.2">
      <c r="A270" s="2">
        <v>44781</v>
      </c>
      <c r="B270" s="1" t="s">
        <v>348</v>
      </c>
      <c r="C270" s="1" t="s">
        <v>297</v>
      </c>
      <c r="D270" s="4">
        <v>1600</v>
      </c>
      <c r="E270" t="str">
        <f t="shared" si="9"/>
        <v>Direct</v>
      </c>
      <c r="F270" s="13" t="str">
        <f t="shared" si="8"/>
        <v>2022-08</v>
      </c>
    </row>
    <row r="271" spans="1:6" x14ac:dyDescent="0.2">
      <c r="A271" s="2">
        <v>44782</v>
      </c>
      <c r="B271" s="1" t="s">
        <v>57</v>
      </c>
      <c r="C271" s="1" t="s">
        <v>994</v>
      </c>
      <c r="D271" s="4">
        <v>1421</v>
      </c>
      <c r="E271" t="str">
        <f t="shared" si="9"/>
        <v>Shared</v>
      </c>
      <c r="F271" s="13" t="str">
        <f t="shared" si="8"/>
        <v>2022-08</v>
      </c>
    </row>
    <row r="272" spans="1:6" x14ac:dyDescent="0.2">
      <c r="A272" s="2">
        <v>44782</v>
      </c>
      <c r="B272" s="1" t="s">
        <v>58</v>
      </c>
      <c r="C272" s="1" t="s">
        <v>994</v>
      </c>
      <c r="D272" s="4">
        <v>834</v>
      </c>
      <c r="E272" t="str">
        <f t="shared" si="9"/>
        <v>Shared</v>
      </c>
      <c r="F272" s="13" t="str">
        <f t="shared" si="8"/>
        <v>2022-08</v>
      </c>
    </row>
    <row r="273" spans="1:6" x14ac:dyDescent="0.2">
      <c r="A273" s="2">
        <v>44782</v>
      </c>
      <c r="B273" s="1" t="s">
        <v>1010</v>
      </c>
      <c r="C273" s="1" t="s">
        <v>994</v>
      </c>
      <c r="D273" s="4">
        <v>200</v>
      </c>
      <c r="E273" t="str">
        <f t="shared" si="9"/>
        <v>Shared</v>
      </c>
      <c r="F273" s="13" t="str">
        <f t="shared" si="8"/>
        <v>2022-08</v>
      </c>
    </row>
    <row r="274" spans="1:6" x14ac:dyDescent="0.2">
      <c r="A274" s="2">
        <v>44782</v>
      </c>
      <c r="B274" s="1" t="s">
        <v>59</v>
      </c>
      <c r="C274" s="1" t="s">
        <v>994</v>
      </c>
      <c r="D274" s="4">
        <v>120</v>
      </c>
      <c r="E274" t="str">
        <f t="shared" si="9"/>
        <v>Shared</v>
      </c>
      <c r="F274" s="13" t="str">
        <f t="shared" si="8"/>
        <v>2022-08</v>
      </c>
    </row>
    <row r="275" spans="1:6" x14ac:dyDescent="0.2">
      <c r="A275" s="2">
        <v>44782</v>
      </c>
      <c r="B275" s="1" t="s">
        <v>9</v>
      </c>
      <c r="C275" s="1" t="s">
        <v>295</v>
      </c>
      <c r="D275" s="4">
        <v>168</v>
      </c>
      <c r="E275" t="str">
        <f t="shared" si="9"/>
        <v>Direct</v>
      </c>
      <c r="F275" s="13" t="str">
        <f t="shared" si="8"/>
        <v>2022-08</v>
      </c>
    </row>
    <row r="276" spans="1:6" x14ac:dyDescent="0.2">
      <c r="A276" s="2">
        <v>44782</v>
      </c>
      <c r="B276" s="1" t="s">
        <v>9</v>
      </c>
      <c r="C276" s="1" t="s">
        <v>296</v>
      </c>
      <c r="D276" s="4">
        <v>445</v>
      </c>
      <c r="E276" t="str">
        <f t="shared" si="9"/>
        <v>Direct</v>
      </c>
      <c r="F276" s="13" t="str">
        <f t="shared" si="8"/>
        <v>2022-08</v>
      </c>
    </row>
    <row r="277" spans="1:6" x14ac:dyDescent="0.2">
      <c r="A277" s="2">
        <v>44784</v>
      </c>
      <c r="B277" s="1" t="s">
        <v>349</v>
      </c>
      <c r="C277" s="1" t="s">
        <v>296</v>
      </c>
      <c r="D277" s="4">
        <v>200</v>
      </c>
      <c r="E277" t="str">
        <f t="shared" si="9"/>
        <v>Direct</v>
      </c>
      <c r="F277" s="13" t="str">
        <f t="shared" si="8"/>
        <v>2022-08</v>
      </c>
    </row>
    <row r="278" spans="1:6" x14ac:dyDescent="0.2">
      <c r="A278" s="2">
        <v>44785</v>
      </c>
      <c r="B278" s="1" t="s">
        <v>314</v>
      </c>
      <c r="C278" s="1" t="s">
        <v>295</v>
      </c>
      <c r="D278" s="4">
        <v>2000</v>
      </c>
      <c r="E278" t="str">
        <f t="shared" si="9"/>
        <v>Direct</v>
      </c>
      <c r="F278" s="13" t="str">
        <f t="shared" si="8"/>
        <v>2022-08</v>
      </c>
    </row>
    <row r="279" spans="1:6" x14ac:dyDescent="0.2">
      <c r="A279" s="2">
        <v>44785</v>
      </c>
      <c r="B279" s="1" t="s">
        <v>315</v>
      </c>
      <c r="C279" s="1" t="s">
        <v>295</v>
      </c>
      <c r="D279" s="4">
        <v>320</v>
      </c>
      <c r="E279" t="str">
        <f t="shared" si="9"/>
        <v>Direct</v>
      </c>
      <c r="F279" s="13" t="str">
        <f t="shared" si="8"/>
        <v>2022-08</v>
      </c>
    </row>
    <row r="280" spans="1:6" x14ac:dyDescent="0.2">
      <c r="A280" s="2">
        <v>44785</v>
      </c>
      <c r="B280" s="1" t="s">
        <v>60</v>
      </c>
      <c r="C280" s="1" t="s">
        <v>994</v>
      </c>
      <c r="D280" s="4">
        <v>1320</v>
      </c>
      <c r="E280" t="str">
        <f t="shared" si="9"/>
        <v>Shared</v>
      </c>
      <c r="F280" s="13" t="str">
        <f t="shared" si="8"/>
        <v>2022-08</v>
      </c>
    </row>
    <row r="281" spans="1:6" x14ac:dyDescent="0.2">
      <c r="A281" s="2">
        <v>44790</v>
      </c>
      <c r="B281" s="1" t="s">
        <v>350</v>
      </c>
      <c r="C281" s="1" t="s">
        <v>295</v>
      </c>
      <c r="D281" s="4">
        <v>2000</v>
      </c>
      <c r="E281" t="str">
        <f t="shared" si="9"/>
        <v>Direct</v>
      </c>
      <c r="F281" s="13" t="str">
        <f t="shared" si="8"/>
        <v>2022-08</v>
      </c>
    </row>
    <row r="282" spans="1:6" x14ac:dyDescent="0.2">
      <c r="A282" s="2">
        <v>44790</v>
      </c>
      <c r="B282" s="1" t="s">
        <v>315</v>
      </c>
      <c r="C282" s="1" t="s">
        <v>295</v>
      </c>
      <c r="D282" s="4">
        <v>280</v>
      </c>
      <c r="E282" t="str">
        <f t="shared" si="9"/>
        <v>Direct</v>
      </c>
      <c r="F282" s="13" t="str">
        <f t="shared" si="8"/>
        <v>2022-08</v>
      </c>
    </row>
    <row r="283" spans="1:6" x14ac:dyDescent="0.2">
      <c r="A283" s="2">
        <v>44791</v>
      </c>
      <c r="B283" s="1" t="s">
        <v>61</v>
      </c>
      <c r="C283" s="1" t="s">
        <v>297</v>
      </c>
      <c r="D283" s="4">
        <v>300</v>
      </c>
      <c r="E283" t="str">
        <f t="shared" si="9"/>
        <v>Direct</v>
      </c>
      <c r="F283" s="13" t="str">
        <f t="shared" si="8"/>
        <v>2022-08</v>
      </c>
    </row>
    <row r="284" spans="1:6" x14ac:dyDescent="0.2">
      <c r="A284" s="2">
        <v>44791</v>
      </c>
      <c r="B284" s="1" t="s">
        <v>48</v>
      </c>
      <c r="C284" s="1" t="s">
        <v>994</v>
      </c>
      <c r="D284" s="4">
        <v>250</v>
      </c>
      <c r="E284" t="str">
        <f t="shared" si="9"/>
        <v>Shared</v>
      </c>
      <c r="F284" s="13" t="str">
        <f t="shared" si="8"/>
        <v>2022-08</v>
      </c>
    </row>
    <row r="285" spans="1:6" x14ac:dyDescent="0.2">
      <c r="A285" s="2">
        <v>44791</v>
      </c>
      <c r="B285" s="1" t="s">
        <v>351</v>
      </c>
      <c r="C285" s="1" t="s">
        <v>295</v>
      </c>
      <c r="D285" s="4">
        <v>300</v>
      </c>
      <c r="E285" t="str">
        <f t="shared" si="9"/>
        <v>Direct</v>
      </c>
      <c r="F285" s="13" t="str">
        <f t="shared" si="8"/>
        <v>2022-08</v>
      </c>
    </row>
    <row r="286" spans="1:6" x14ac:dyDescent="0.2">
      <c r="A286" s="2">
        <v>44791</v>
      </c>
      <c r="B286" s="1" t="s">
        <v>352</v>
      </c>
      <c r="C286" s="1" t="s">
        <v>295</v>
      </c>
      <c r="D286" s="4">
        <v>200</v>
      </c>
      <c r="E286" t="str">
        <f t="shared" si="9"/>
        <v>Direct</v>
      </c>
      <c r="F286" s="13" t="str">
        <f t="shared" si="8"/>
        <v>2022-08</v>
      </c>
    </row>
    <row r="287" spans="1:6" x14ac:dyDescent="0.2">
      <c r="A287" s="2">
        <v>44793</v>
      </c>
      <c r="B287" s="1" t="s">
        <v>353</v>
      </c>
      <c r="C287" s="1" t="s">
        <v>297</v>
      </c>
      <c r="D287" s="4">
        <v>250</v>
      </c>
      <c r="E287" t="str">
        <f t="shared" si="9"/>
        <v>Direct</v>
      </c>
      <c r="F287" s="13" t="str">
        <f t="shared" si="8"/>
        <v>2022-08</v>
      </c>
    </row>
    <row r="288" spans="1:6" x14ac:dyDescent="0.2">
      <c r="A288" s="2">
        <v>44796</v>
      </c>
      <c r="B288" s="1" t="s">
        <v>298</v>
      </c>
      <c r="C288" s="1" t="s">
        <v>297</v>
      </c>
      <c r="D288" s="4">
        <v>1200</v>
      </c>
      <c r="E288" t="str">
        <f t="shared" si="9"/>
        <v>Direct</v>
      </c>
      <c r="F288" s="13" t="str">
        <f t="shared" si="8"/>
        <v>2022-08</v>
      </c>
    </row>
    <row r="289" spans="1:6" x14ac:dyDescent="0.2">
      <c r="A289" s="2">
        <v>44796</v>
      </c>
      <c r="B289" s="1" t="s">
        <v>1011</v>
      </c>
      <c r="C289" s="1" t="s">
        <v>297</v>
      </c>
      <c r="D289" s="4">
        <v>4500</v>
      </c>
      <c r="E289" t="str">
        <f t="shared" si="9"/>
        <v>Direct</v>
      </c>
      <c r="F289" s="13" t="str">
        <f t="shared" si="8"/>
        <v>2022-08</v>
      </c>
    </row>
    <row r="290" spans="1:6" x14ac:dyDescent="0.2">
      <c r="A290" s="2">
        <v>44797</v>
      </c>
      <c r="B290" s="1" t="s">
        <v>314</v>
      </c>
      <c r="C290" s="1" t="s">
        <v>295</v>
      </c>
      <c r="D290" s="4">
        <v>2000</v>
      </c>
      <c r="E290" t="str">
        <f t="shared" si="9"/>
        <v>Direct</v>
      </c>
      <c r="F290" s="13" t="str">
        <f t="shared" si="8"/>
        <v>2022-08</v>
      </c>
    </row>
    <row r="291" spans="1:6" x14ac:dyDescent="0.2">
      <c r="A291" s="2">
        <v>44797</v>
      </c>
      <c r="B291" s="1" t="s">
        <v>354</v>
      </c>
      <c r="C291" s="1" t="s">
        <v>297</v>
      </c>
      <c r="D291" s="4">
        <v>4500</v>
      </c>
      <c r="E291" t="str">
        <f t="shared" si="9"/>
        <v>Direct</v>
      </c>
      <c r="F291" s="13" t="str">
        <f t="shared" si="8"/>
        <v>2022-08</v>
      </c>
    </row>
    <row r="292" spans="1:6" x14ac:dyDescent="0.2">
      <c r="A292" s="2">
        <v>44797</v>
      </c>
      <c r="B292" s="1" t="s">
        <v>355</v>
      </c>
      <c r="C292" s="1" t="s">
        <v>297</v>
      </c>
      <c r="D292" s="4">
        <v>1800</v>
      </c>
      <c r="E292" t="str">
        <f t="shared" si="9"/>
        <v>Direct</v>
      </c>
      <c r="F292" s="13" t="str">
        <f t="shared" si="8"/>
        <v>2022-08</v>
      </c>
    </row>
    <row r="293" spans="1:6" x14ac:dyDescent="0.2">
      <c r="A293" s="2">
        <v>44797</v>
      </c>
      <c r="B293" s="1" t="s">
        <v>9</v>
      </c>
      <c r="C293" s="1" t="s">
        <v>297</v>
      </c>
      <c r="D293" s="4">
        <v>200</v>
      </c>
      <c r="E293" t="str">
        <f t="shared" si="9"/>
        <v>Direct</v>
      </c>
      <c r="F293" s="13" t="str">
        <f t="shared" si="8"/>
        <v>2022-08</v>
      </c>
    </row>
    <row r="294" spans="1:6" x14ac:dyDescent="0.2">
      <c r="A294" s="2">
        <v>44797</v>
      </c>
      <c r="B294" s="1" t="s">
        <v>315</v>
      </c>
      <c r="C294" s="1" t="s">
        <v>295</v>
      </c>
      <c r="D294" s="4">
        <v>280</v>
      </c>
      <c r="E294" t="str">
        <f t="shared" si="9"/>
        <v>Direct</v>
      </c>
      <c r="F294" s="13" t="str">
        <f t="shared" si="8"/>
        <v>2022-08</v>
      </c>
    </row>
    <row r="295" spans="1:6" x14ac:dyDescent="0.2">
      <c r="A295" s="2">
        <v>44797</v>
      </c>
      <c r="B295" s="1" t="s">
        <v>358</v>
      </c>
      <c r="C295" s="1" t="s">
        <v>297</v>
      </c>
      <c r="D295" s="4">
        <v>350</v>
      </c>
      <c r="E295" t="str">
        <f t="shared" si="9"/>
        <v>Direct</v>
      </c>
      <c r="F295" s="13" t="str">
        <f t="shared" si="8"/>
        <v>2022-08</v>
      </c>
    </row>
    <row r="296" spans="1:6" x14ac:dyDescent="0.2">
      <c r="A296" s="2">
        <v>44797</v>
      </c>
      <c r="B296" s="1" t="s">
        <v>359</v>
      </c>
      <c r="C296" s="1" t="s">
        <v>296</v>
      </c>
      <c r="D296" s="4">
        <v>2500</v>
      </c>
      <c r="E296" t="str">
        <f t="shared" si="9"/>
        <v>Direct</v>
      </c>
      <c r="F296" s="13" t="str">
        <f t="shared" si="8"/>
        <v>2022-08</v>
      </c>
    </row>
    <row r="297" spans="1:6" x14ac:dyDescent="0.2">
      <c r="A297" s="2">
        <v>44797</v>
      </c>
      <c r="B297" s="1" t="s">
        <v>360</v>
      </c>
      <c r="C297" s="1" t="s">
        <v>297</v>
      </c>
      <c r="D297" s="4">
        <v>3600</v>
      </c>
      <c r="E297" t="str">
        <f t="shared" si="9"/>
        <v>Direct</v>
      </c>
      <c r="F297" s="13" t="str">
        <f t="shared" si="8"/>
        <v>2022-08</v>
      </c>
    </row>
    <row r="298" spans="1:6" x14ac:dyDescent="0.2">
      <c r="A298" s="2">
        <v>44797</v>
      </c>
      <c r="B298" s="1" t="s">
        <v>361</v>
      </c>
      <c r="C298" s="1" t="s">
        <v>297</v>
      </c>
      <c r="D298" s="4">
        <v>1270</v>
      </c>
      <c r="E298" t="str">
        <f t="shared" si="9"/>
        <v>Direct</v>
      </c>
      <c r="F298" s="13" t="str">
        <f t="shared" si="8"/>
        <v>2022-08</v>
      </c>
    </row>
    <row r="299" spans="1:6" x14ac:dyDescent="0.2">
      <c r="A299" s="2">
        <v>44797</v>
      </c>
      <c r="B299" s="1" t="s">
        <v>362</v>
      </c>
      <c r="C299" s="1" t="s">
        <v>297</v>
      </c>
      <c r="D299" s="4">
        <v>600</v>
      </c>
      <c r="E299" t="str">
        <f t="shared" si="9"/>
        <v>Direct</v>
      </c>
      <c r="F299" s="13" t="str">
        <f t="shared" si="8"/>
        <v>2022-08</v>
      </c>
    </row>
    <row r="300" spans="1:6" x14ac:dyDescent="0.2">
      <c r="A300" s="2">
        <v>44797</v>
      </c>
      <c r="B300" s="1" t="s">
        <v>62</v>
      </c>
      <c r="C300" s="1" t="s">
        <v>994</v>
      </c>
      <c r="D300" s="4">
        <v>1594</v>
      </c>
      <c r="E300" t="str">
        <f t="shared" si="9"/>
        <v>Shared</v>
      </c>
      <c r="F300" s="13" t="str">
        <f t="shared" si="8"/>
        <v>2022-08</v>
      </c>
    </row>
    <row r="301" spans="1:6" x14ac:dyDescent="0.2">
      <c r="A301" s="2">
        <v>44798</v>
      </c>
      <c r="B301" s="1" t="s">
        <v>356</v>
      </c>
      <c r="C301" s="1" t="s">
        <v>297</v>
      </c>
      <c r="D301" s="4">
        <v>1800</v>
      </c>
      <c r="E301" t="str">
        <f t="shared" si="9"/>
        <v>Direct</v>
      </c>
      <c r="F301" s="13" t="str">
        <f t="shared" si="8"/>
        <v>2022-08</v>
      </c>
    </row>
    <row r="302" spans="1:6" x14ac:dyDescent="0.2">
      <c r="A302" s="2">
        <v>44798</v>
      </c>
      <c r="B302" s="1" t="s">
        <v>1012</v>
      </c>
      <c r="C302" s="1" t="s">
        <v>994</v>
      </c>
      <c r="D302" s="4">
        <v>1200</v>
      </c>
      <c r="E302" t="str">
        <f t="shared" si="9"/>
        <v>Shared</v>
      </c>
      <c r="F302" s="13" t="str">
        <f t="shared" si="8"/>
        <v>2022-08</v>
      </c>
    </row>
    <row r="303" spans="1:6" x14ac:dyDescent="0.2">
      <c r="A303" s="2">
        <v>44798</v>
      </c>
      <c r="B303" s="1" t="s">
        <v>357</v>
      </c>
      <c r="C303" s="1" t="s">
        <v>297</v>
      </c>
      <c r="D303" s="4">
        <v>600</v>
      </c>
      <c r="E303" t="str">
        <f t="shared" si="9"/>
        <v>Direct</v>
      </c>
      <c r="F303" s="13" t="str">
        <f t="shared" si="8"/>
        <v>2022-08</v>
      </c>
    </row>
    <row r="304" spans="1:6" x14ac:dyDescent="0.2">
      <c r="A304" s="2">
        <v>44802</v>
      </c>
      <c r="B304" s="1" t="s">
        <v>298</v>
      </c>
      <c r="C304" s="1" t="s">
        <v>295</v>
      </c>
      <c r="D304" s="4">
        <v>1200</v>
      </c>
      <c r="E304" t="str">
        <f t="shared" si="9"/>
        <v>Direct</v>
      </c>
      <c r="F304" s="13" t="str">
        <f t="shared" si="8"/>
        <v>2022-08</v>
      </c>
    </row>
    <row r="305" spans="1:6" x14ac:dyDescent="0.2">
      <c r="A305" s="2">
        <v>44802</v>
      </c>
      <c r="B305" s="1" t="s">
        <v>363</v>
      </c>
      <c r="C305" s="1" t="s">
        <v>297</v>
      </c>
      <c r="D305" s="4">
        <v>800</v>
      </c>
      <c r="E305" t="str">
        <f t="shared" si="9"/>
        <v>Direct</v>
      </c>
      <c r="F305" s="13" t="str">
        <f t="shared" si="8"/>
        <v>2022-08</v>
      </c>
    </row>
    <row r="306" spans="1:6" x14ac:dyDescent="0.2">
      <c r="A306" s="2">
        <v>44802</v>
      </c>
      <c r="B306" s="1" t="s">
        <v>364</v>
      </c>
      <c r="C306" s="1" t="s">
        <v>295</v>
      </c>
      <c r="D306" s="4">
        <v>600</v>
      </c>
      <c r="E306" t="str">
        <f t="shared" si="9"/>
        <v>Direct</v>
      </c>
      <c r="F306" s="13" t="str">
        <f t="shared" si="8"/>
        <v>2022-08</v>
      </c>
    </row>
    <row r="307" spans="1:6" x14ac:dyDescent="0.2">
      <c r="A307" s="2">
        <v>44802</v>
      </c>
      <c r="B307" s="1" t="s">
        <v>365</v>
      </c>
      <c r="C307" s="1" t="s">
        <v>295</v>
      </c>
      <c r="D307" s="4">
        <v>400</v>
      </c>
      <c r="E307" t="str">
        <f t="shared" si="9"/>
        <v>Direct</v>
      </c>
      <c r="F307" s="13" t="str">
        <f t="shared" si="8"/>
        <v>2022-08</v>
      </c>
    </row>
    <row r="308" spans="1:6" x14ac:dyDescent="0.2">
      <c r="A308" s="2">
        <v>44802</v>
      </c>
      <c r="B308" s="1" t="s">
        <v>366</v>
      </c>
      <c r="C308" s="1" t="s">
        <v>297</v>
      </c>
      <c r="D308" s="4">
        <v>170</v>
      </c>
      <c r="E308" t="str">
        <f t="shared" si="9"/>
        <v>Direct</v>
      </c>
      <c r="F308" s="13" t="str">
        <f t="shared" si="8"/>
        <v>2022-08</v>
      </c>
    </row>
    <row r="309" spans="1:6" x14ac:dyDescent="0.2">
      <c r="A309" s="2">
        <v>44802</v>
      </c>
      <c r="B309" s="1" t="s">
        <v>9</v>
      </c>
      <c r="C309" s="1" t="s">
        <v>295</v>
      </c>
      <c r="D309" s="4">
        <v>250</v>
      </c>
      <c r="E309" t="str">
        <f t="shared" si="9"/>
        <v>Direct</v>
      </c>
      <c r="F309" s="13" t="str">
        <f t="shared" si="8"/>
        <v>2022-08</v>
      </c>
    </row>
    <row r="310" spans="1:6" x14ac:dyDescent="0.2">
      <c r="A310" s="2">
        <v>44803</v>
      </c>
      <c r="B310" s="1" t="s">
        <v>298</v>
      </c>
      <c r="C310" s="1" t="s">
        <v>296</v>
      </c>
      <c r="D310" s="4">
        <v>1200</v>
      </c>
      <c r="E310" t="str">
        <f t="shared" si="9"/>
        <v>Direct</v>
      </c>
      <c r="F310" s="13" t="str">
        <f t="shared" si="8"/>
        <v>2022-08</v>
      </c>
    </row>
    <row r="311" spans="1:6" x14ac:dyDescent="0.2">
      <c r="A311" s="2">
        <v>44803</v>
      </c>
      <c r="B311" s="1" t="s">
        <v>63</v>
      </c>
      <c r="C311" s="1" t="s">
        <v>994</v>
      </c>
      <c r="D311" s="4">
        <v>200</v>
      </c>
      <c r="E311" t="str">
        <f t="shared" si="9"/>
        <v>Shared</v>
      </c>
      <c r="F311" s="13" t="str">
        <f t="shared" si="8"/>
        <v>2022-08</v>
      </c>
    </row>
    <row r="312" spans="1:6" x14ac:dyDescent="0.2">
      <c r="A312" s="2">
        <v>44803</v>
      </c>
      <c r="B312" s="1" t="s">
        <v>9</v>
      </c>
      <c r="C312" s="1" t="s">
        <v>296</v>
      </c>
      <c r="D312" s="4">
        <v>180</v>
      </c>
      <c r="E312" t="str">
        <f t="shared" si="9"/>
        <v>Direct</v>
      </c>
      <c r="F312" s="13" t="str">
        <f t="shared" si="8"/>
        <v>2022-08</v>
      </c>
    </row>
    <row r="313" spans="1:6" x14ac:dyDescent="0.2">
      <c r="A313" s="2">
        <v>44804</v>
      </c>
      <c r="B313" s="1" t="s">
        <v>64</v>
      </c>
      <c r="C313" s="1" t="s">
        <v>994</v>
      </c>
      <c r="D313" s="4">
        <v>2500</v>
      </c>
      <c r="E313" t="str">
        <f t="shared" si="9"/>
        <v>Shared</v>
      </c>
      <c r="F313" s="13" t="str">
        <f t="shared" si="8"/>
        <v>2022-08</v>
      </c>
    </row>
    <row r="314" spans="1:6" x14ac:dyDescent="0.2">
      <c r="A314" s="2">
        <v>44805</v>
      </c>
      <c r="B314" s="1" t="s">
        <v>1013</v>
      </c>
      <c r="C314" s="1" t="s">
        <v>297</v>
      </c>
      <c r="D314" s="4">
        <v>600</v>
      </c>
      <c r="E314" t="str">
        <f t="shared" si="9"/>
        <v>Direct</v>
      </c>
      <c r="F314" s="13" t="str">
        <f t="shared" si="8"/>
        <v>2022-09</v>
      </c>
    </row>
    <row r="315" spans="1:6" x14ac:dyDescent="0.2">
      <c r="A315" s="2">
        <v>44805</v>
      </c>
      <c r="B315" s="1" t="s">
        <v>65</v>
      </c>
      <c r="C315" s="1" t="s">
        <v>994</v>
      </c>
      <c r="D315" s="4">
        <v>3000</v>
      </c>
      <c r="E315" t="str">
        <f t="shared" si="9"/>
        <v>Shared</v>
      </c>
      <c r="F315" s="13" t="str">
        <f t="shared" si="8"/>
        <v>2022-09</v>
      </c>
    </row>
    <row r="316" spans="1:6" x14ac:dyDescent="0.2">
      <c r="A316" s="2">
        <v>44810</v>
      </c>
      <c r="B316" s="1" t="s">
        <v>9</v>
      </c>
      <c r="C316" s="1" t="s">
        <v>297</v>
      </c>
      <c r="D316" s="4">
        <v>160</v>
      </c>
      <c r="E316" t="str">
        <f t="shared" si="9"/>
        <v>Direct</v>
      </c>
      <c r="F316" s="13" t="str">
        <f t="shared" si="8"/>
        <v>2022-09</v>
      </c>
    </row>
    <row r="317" spans="1:6" x14ac:dyDescent="0.2">
      <c r="A317" s="2">
        <v>44813</v>
      </c>
      <c r="B317" s="1" t="s">
        <v>367</v>
      </c>
      <c r="C317" s="1" t="s">
        <v>295</v>
      </c>
      <c r="D317" s="4">
        <v>500</v>
      </c>
      <c r="E317" t="str">
        <f t="shared" si="9"/>
        <v>Direct</v>
      </c>
      <c r="F317" s="13" t="str">
        <f t="shared" si="8"/>
        <v>2022-09</v>
      </c>
    </row>
    <row r="318" spans="1:6" x14ac:dyDescent="0.2">
      <c r="A318" s="2">
        <v>44813</v>
      </c>
      <c r="B318" s="1" t="s">
        <v>66</v>
      </c>
      <c r="C318" s="1" t="s">
        <v>994</v>
      </c>
      <c r="D318" s="4">
        <v>1550.2</v>
      </c>
      <c r="E318" t="str">
        <f t="shared" si="9"/>
        <v>Shared</v>
      </c>
      <c r="F318" s="13" t="str">
        <f t="shared" si="8"/>
        <v>2022-09</v>
      </c>
    </row>
    <row r="319" spans="1:6" x14ac:dyDescent="0.2">
      <c r="A319" s="2">
        <v>44820</v>
      </c>
      <c r="B319" s="1" t="s">
        <v>67</v>
      </c>
      <c r="C319" s="1" t="s">
        <v>994</v>
      </c>
      <c r="D319" s="4">
        <v>500</v>
      </c>
      <c r="E319" t="str">
        <f t="shared" si="9"/>
        <v>Shared</v>
      </c>
      <c r="F319" s="13" t="str">
        <f t="shared" si="8"/>
        <v>2022-09</v>
      </c>
    </row>
    <row r="320" spans="1:6" x14ac:dyDescent="0.2">
      <c r="A320" s="2">
        <v>44820</v>
      </c>
      <c r="B320" s="1" t="s">
        <v>68</v>
      </c>
      <c r="C320" s="1" t="s">
        <v>994</v>
      </c>
      <c r="D320" s="4">
        <v>960</v>
      </c>
      <c r="E320" t="str">
        <f t="shared" si="9"/>
        <v>Shared</v>
      </c>
      <c r="F320" s="13" t="str">
        <f t="shared" si="8"/>
        <v>2022-09</v>
      </c>
    </row>
    <row r="321" spans="1:6" x14ac:dyDescent="0.2">
      <c r="A321" s="2">
        <v>44823</v>
      </c>
      <c r="B321" s="1" t="s">
        <v>368</v>
      </c>
      <c r="C321" s="1" t="s">
        <v>297</v>
      </c>
      <c r="D321" s="4">
        <v>950</v>
      </c>
      <c r="E321" t="str">
        <f t="shared" si="9"/>
        <v>Direct</v>
      </c>
      <c r="F321" s="13" t="str">
        <f t="shared" si="8"/>
        <v>2022-09</v>
      </c>
    </row>
    <row r="322" spans="1:6" x14ac:dyDescent="0.2">
      <c r="A322" s="2">
        <v>44823</v>
      </c>
      <c r="B322" s="1" t="s">
        <v>369</v>
      </c>
      <c r="C322" s="1" t="s">
        <v>297</v>
      </c>
      <c r="D322" s="4">
        <v>190</v>
      </c>
      <c r="E322" t="str">
        <f t="shared" si="9"/>
        <v>Direct</v>
      </c>
      <c r="F322" s="13" t="str">
        <f t="shared" ref="F322:F385" si="10">YEAR(A322)&amp;"-"&amp;TEXT(MONTH(A322),"00")</f>
        <v>2022-09</v>
      </c>
    </row>
    <row r="323" spans="1:6" x14ac:dyDescent="0.2">
      <c r="A323" s="2">
        <v>44825</v>
      </c>
      <c r="B323" s="1" t="s">
        <v>1014</v>
      </c>
      <c r="C323" s="1" t="s">
        <v>994</v>
      </c>
      <c r="D323" s="4">
        <v>600</v>
      </c>
      <c r="E323" t="str">
        <f t="shared" ref="E323:E386" si="11">IF(OR(C323="A302", C323="B303", C323="C301"), "Direct", "Shared")</f>
        <v>Shared</v>
      </c>
      <c r="F323" s="13" t="str">
        <f t="shared" si="10"/>
        <v>2022-09</v>
      </c>
    </row>
    <row r="324" spans="1:6" x14ac:dyDescent="0.2">
      <c r="A324" s="2">
        <v>44825</v>
      </c>
      <c r="B324" s="1" t="s">
        <v>69</v>
      </c>
      <c r="C324" s="1" t="s">
        <v>994</v>
      </c>
      <c r="D324" s="4">
        <v>250</v>
      </c>
      <c r="E324" t="str">
        <f t="shared" si="11"/>
        <v>Shared</v>
      </c>
      <c r="F324" s="13" t="str">
        <f t="shared" si="10"/>
        <v>2022-09</v>
      </c>
    </row>
    <row r="325" spans="1:6" x14ac:dyDescent="0.2">
      <c r="A325" s="2">
        <v>44826</v>
      </c>
      <c r="B325" s="1" t="s">
        <v>370</v>
      </c>
      <c r="C325" s="1" t="s">
        <v>295</v>
      </c>
      <c r="D325" s="4">
        <v>2700</v>
      </c>
      <c r="E325" t="str">
        <f t="shared" si="11"/>
        <v>Direct</v>
      </c>
      <c r="F325" s="13" t="str">
        <f t="shared" si="10"/>
        <v>2022-09</v>
      </c>
    </row>
    <row r="326" spans="1:6" x14ac:dyDescent="0.2">
      <c r="A326" s="2">
        <v>44834</v>
      </c>
      <c r="B326" s="1" t="s">
        <v>70</v>
      </c>
      <c r="C326" s="1" t="s">
        <v>994</v>
      </c>
      <c r="D326" s="4">
        <v>700</v>
      </c>
      <c r="E326" t="str">
        <f t="shared" si="11"/>
        <v>Shared</v>
      </c>
      <c r="F326" s="13" t="str">
        <f t="shared" si="10"/>
        <v>2022-09</v>
      </c>
    </row>
    <row r="327" spans="1:6" x14ac:dyDescent="0.2">
      <c r="A327" s="2">
        <v>44834</v>
      </c>
      <c r="B327" s="1" t="s">
        <v>371</v>
      </c>
      <c r="C327" s="1" t="s">
        <v>295</v>
      </c>
      <c r="D327" s="4">
        <v>350</v>
      </c>
      <c r="E327" t="str">
        <f t="shared" si="11"/>
        <v>Direct</v>
      </c>
      <c r="F327" s="13" t="str">
        <f t="shared" si="10"/>
        <v>2022-09</v>
      </c>
    </row>
    <row r="328" spans="1:6" x14ac:dyDescent="0.2">
      <c r="A328" s="2">
        <v>44835</v>
      </c>
      <c r="B328" s="1" t="s">
        <v>71</v>
      </c>
      <c r="C328" s="1" t="s">
        <v>994</v>
      </c>
      <c r="D328" s="4">
        <v>1300</v>
      </c>
      <c r="E328" t="str">
        <f t="shared" si="11"/>
        <v>Shared</v>
      </c>
      <c r="F328" s="13" t="str">
        <f t="shared" si="10"/>
        <v>2022-10</v>
      </c>
    </row>
    <row r="329" spans="1:6" x14ac:dyDescent="0.2">
      <c r="A329" s="2">
        <v>44836</v>
      </c>
      <c r="B329" s="1" t="s">
        <v>372</v>
      </c>
      <c r="C329" s="1" t="s">
        <v>297</v>
      </c>
      <c r="D329" s="4">
        <v>1900</v>
      </c>
      <c r="E329" t="str">
        <f t="shared" si="11"/>
        <v>Direct</v>
      </c>
      <c r="F329" s="13" t="str">
        <f t="shared" si="10"/>
        <v>2022-10</v>
      </c>
    </row>
    <row r="330" spans="1:6" x14ac:dyDescent="0.2">
      <c r="A330" s="2">
        <v>44837</v>
      </c>
      <c r="B330" s="1" t="s">
        <v>373</v>
      </c>
      <c r="C330" s="1" t="s">
        <v>297</v>
      </c>
      <c r="D330" s="4">
        <v>400</v>
      </c>
      <c r="E330" t="str">
        <f t="shared" si="11"/>
        <v>Direct</v>
      </c>
      <c r="F330" s="13" t="str">
        <f t="shared" si="10"/>
        <v>2022-10</v>
      </c>
    </row>
    <row r="331" spans="1:6" x14ac:dyDescent="0.2">
      <c r="A331" s="2">
        <v>44846</v>
      </c>
      <c r="B331" s="1" t="s">
        <v>9</v>
      </c>
      <c r="C331" s="1" t="s">
        <v>295</v>
      </c>
      <c r="D331" s="4">
        <v>280</v>
      </c>
      <c r="E331" t="str">
        <f t="shared" si="11"/>
        <v>Direct</v>
      </c>
      <c r="F331" s="13" t="str">
        <f t="shared" si="10"/>
        <v>2022-10</v>
      </c>
    </row>
    <row r="332" spans="1:6" x14ac:dyDescent="0.2">
      <c r="A332" s="2">
        <v>44847</v>
      </c>
      <c r="B332" s="1" t="s">
        <v>298</v>
      </c>
      <c r="C332" s="1" t="s">
        <v>295</v>
      </c>
      <c r="D332" s="4">
        <v>1200</v>
      </c>
      <c r="E332" t="str">
        <f t="shared" si="11"/>
        <v>Direct</v>
      </c>
      <c r="F332" s="13" t="str">
        <f t="shared" si="10"/>
        <v>2022-10</v>
      </c>
    </row>
    <row r="333" spans="1:6" x14ac:dyDescent="0.2">
      <c r="A333" s="2">
        <v>44847</v>
      </c>
      <c r="B333" s="1" t="s">
        <v>72</v>
      </c>
      <c r="C333" s="1" t="s">
        <v>994</v>
      </c>
      <c r="D333" s="4">
        <v>200</v>
      </c>
      <c r="E333" t="str">
        <f t="shared" si="11"/>
        <v>Shared</v>
      </c>
      <c r="F333" s="13" t="str">
        <f t="shared" si="10"/>
        <v>2022-10</v>
      </c>
    </row>
    <row r="334" spans="1:6" x14ac:dyDescent="0.2">
      <c r="A334" s="2">
        <v>44850</v>
      </c>
      <c r="B334" s="1" t="s">
        <v>73</v>
      </c>
      <c r="C334" s="1" t="s">
        <v>994</v>
      </c>
      <c r="D334" s="4">
        <v>1200</v>
      </c>
      <c r="E334" t="str">
        <f t="shared" si="11"/>
        <v>Shared</v>
      </c>
      <c r="F334" s="13" t="str">
        <f t="shared" si="10"/>
        <v>2022-10</v>
      </c>
    </row>
    <row r="335" spans="1:6" x14ac:dyDescent="0.2">
      <c r="A335" s="2">
        <v>44850</v>
      </c>
      <c r="B335" s="1" t="s">
        <v>74</v>
      </c>
      <c r="C335" s="1" t="s">
        <v>994</v>
      </c>
      <c r="D335" s="4">
        <v>3300</v>
      </c>
      <c r="E335" t="str">
        <f t="shared" si="11"/>
        <v>Shared</v>
      </c>
      <c r="F335" s="13" t="str">
        <f t="shared" si="10"/>
        <v>2022-10</v>
      </c>
    </row>
    <row r="336" spans="1:6" x14ac:dyDescent="0.2">
      <c r="A336" s="2">
        <v>44855</v>
      </c>
      <c r="B336" s="1" t="s">
        <v>298</v>
      </c>
      <c r="C336" s="1" t="s">
        <v>295</v>
      </c>
      <c r="D336" s="4">
        <v>1200</v>
      </c>
      <c r="E336" t="str">
        <f t="shared" si="11"/>
        <v>Direct</v>
      </c>
      <c r="F336" s="13" t="str">
        <f t="shared" si="10"/>
        <v>2022-10</v>
      </c>
    </row>
    <row r="337" spans="1:6" x14ac:dyDescent="0.2">
      <c r="A337" s="2">
        <v>44855</v>
      </c>
      <c r="B337" s="1" t="s">
        <v>9</v>
      </c>
      <c r="C337" s="1" t="s">
        <v>295</v>
      </c>
      <c r="D337" s="4">
        <v>280</v>
      </c>
      <c r="E337" t="str">
        <f t="shared" si="11"/>
        <v>Direct</v>
      </c>
      <c r="F337" s="13" t="str">
        <f t="shared" si="10"/>
        <v>2022-10</v>
      </c>
    </row>
    <row r="338" spans="1:6" x14ac:dyDescent="0.2">
      <c r="A338" s="2">
        <v>44857</v>
      </c>
      <c r="B338" s="1" t="s">
        <v>75</v>
      </c>
      <c r="C338" s="1" t="s">
        <v>994</v>
      </c>
      <c r="D338" s="4">
        <v>470</v>
      </c>
      <c r="E338" t="str">
        <f t="shared" si="11"/>
        <v>Shared</v>
      </c>
      <c r="F338" s="13" t="str">
        <f t="shared" si="10"/>
        <v>2022-10</v>
      </c>
    </row>
    <row r="339" spans="1:6" x14ac:dyDescent="0.2">
      <c r="A339" s="2">
        <v>44858</v>
      </c>
      <c r="B339" s="1" t="s">
        <v>1015</v>
      </c>
      <c r="C339" s="1" t="s">
        <v>295</v>
      </c>
      <c r="D339" s="4">
        <v>1100</v>
      </c>
      <c r="E339" t="str">
        <f t="shared" si="11"/>
        <v>Direct</v>
      </c>
      <c r="F339" s="13" t="str">
        <f t="shared" si="10"/>
        <v>2022-10</v>
      </c>
    </row>
    <row r="340" spans="1:6" x14ac:dyDescent="0.2">
      <c r="A340" s="2">
        <v>44859</v>
      </c>
      <c r="B340" s="1" t="s">
        <v>1016</v>
      </c>
      <c r="C340" s="1" t="s">
        <v>297</v>
      </c>
      <c r="D340" s="4">
        <v>1900</v>
      </c>
      <c r="E340" t="str">
        <f t="shared" si="11"/>
        <v>Direct</v>
      </c>
      <c r="F340" s="13" t="str">
        <f t="shared" si="10"/>
        <v>2022-10</v>
      </c>
    </row>
    <row r="341" spans="1:6" x14ac:dyDescent="0.2">
      <c r="A341" s="2">
        <v>44861</v>
      </c>
      <c r="B341" s="1" t="s">
        <v>76</v>
      </c>
      <c r="C341" s="1" t="s">
        <v>994</v>
      </c>
      <c r="D341" s="4">
        <v>290</v>
      </c>
      <c r="E341" t="str">
        <f t="shared" si="11"/>
        <v>Shared</v>
      </c>
      <c r="F341" s="13" t="str">
        <f t="shared" si="10"/>
        <v>2022-10</v>
      </c>
    </row>
    <row r="342" spans="1:6" x14ac:dyDescent="0.2">
      <c r="A342" s="2">
        <v>44863</v>
      </c>
      <c r="B342" s="1" t="s">
        <v>77</v>
      </c>
      <c r="C342" s="1" t="s">
        <v>994</v>
      </c>
      <c r="D342" s="4">
        <v>3700</v>
      </c>
      <c r="E342" t="str">
        <f t="shared" si="11"/>
        <v>Shared</v>
      </c>
      <c r="F342" s="13" t="str">
        <f t="shared" si="10"/>
        <v>2022-10</v>
      </c>
    </row>
    <row r="343" spans="1:6" x14ac:dyDescent="0.2">
      <c r="A343" s="2">
        <v>44863</v>
      </c>
      <c r="B343" s="1" t="s">
        <v>78</v>
      </c>
      <c r="C343" s="1" t="s">
        <v>994</v>
      </c>
      <c r="D343" s="4">
        <v>2800</v>
      </c>
      <c r="E343" t="str">
        <f t="shared" si="11"/>
        <v>Shared</v>
      </c>
      <c r="F343" s="13" t="str">
        <f t="shared" si="10"/>
        <v>2022-10</v>
      </c>
    </row>
    <row r="344" spans="1:6" x14ac:dyDescent="0.2">
      <c r="A344" s="2">
        <v>44863</v>
      </c>
      <c r="B344" s="1" t="s">
        <v>79</v>
      </c>
      <c r="C344" s="1" t="s">
        <v>994</v>
      </c>
      <c r="D344" s="4">
        <v>900</v>
      </c>
      <c r="E344" t="str">
        <f t="shared" si="11"/>
        <v>Shared</v>
      </c>
      <c r="F344" s="13" t="str">
        <f t="shared" si="10"/>
        <v>2022-10</v>
      </c>
    </row>
    <row r="345" spans="1:6" x14ac:dyDescent="0.2">
      <c r="A345" s="2">
        <v>44863</v>
      </c>
      <c r="B345" s="1" t="s">
        <v>374</v>
      </c>
      <c r="C345" s="1" t="s">
        <v>296</v>
      </c>
      <c r="D345" s="4">
        <v>700</v>
      </c>
      <c r="E345" t="str">
        <f t="shared" si="11"/>
        <v>Direct</v>
      </c>
      <c r="F345" s="13" t="str">
        <f t="shared" si="10"/>
        <v>2022-10</v>
      </c>
    </row>
    <row r="346" spans="1:6" x14ac:dyDescent="0.2">
      <c r="A346" s="2">
        <v>44864</v>
      </c>
      <c r="B346" s="1" t="s">
        <v>314</v>
      </c>
      <c r="C346" s="1" t="s">
        <v>295</v>
      </c>
      <c r="D346" s="4">
        <v>2000</v>
      </c>
      <c r="E346" t="str">
        <f t="shared" si="11"/>
        <v>Direct</v>
      </c>
      <c r="F346" s="13" t="str">
        <f t="shared" si="10"/>
        <v>2022-10</v>
      </c>
    </row>
    <row r="347" spans="1:6" x14ac:dyDescent="0.2">
      <c r="A347" s="2">
        <v>44864</v>
      </c>
      <c r="B347" s="1" t="s">
        <v>80</v>
      </c>
      <c r="C347" s="1" t="s">
        <v>994</v>
      </c>
      <c r="D347" s="4">
        <v>1600</v>
      </c>
      <c r="E347" t="str">
        <f t="shared" si="11"/>
        <v>Shared</v>
      </c>
      <c r="F347" s="13" t="str">
        <f t="shared" si="10"/>
        <v>2022-10</v>
      </c>
    </row>
    <row r="348" spans="1:6" x14ac:dyDescent="0.2">
      <c r="A348" s="2">
        <v>44864</v>
      </c>
      <c r="B348" s="1" t="s">
        <v>9</v>
      </c>
      <c r="C348" s="1" t="s">
        <v>295</v>
      </c>
      <c r="D348" s="4">
        <v>207</v>
      </c>
      <c r="E348" t="str">
        <f t="shared" si="11"/>
        <v>Direct</v>
      </c>
      <c r="F348" s="13" t="str">
        <f t="shared" si="10"/>
        <v>2022-10</v>
      </c>
    </row>
    <row r="349" spans="1:6" x14ac:dyDescent="0.2">
      <c r="A349" s="2">
        <v>44865</v>
      </c>
      <c r="B349" s="1" t="s">
        <v>72</v>
      </c>
      <c r="C349" s="1" t="s">
        <v>994</v>
      </c>
      <c r="D349" s="4">
        <v>200</v>
      </c>
      <c r="E349" t="str">
        <f t="shared" si="11"/>
        <v>Shared</v>
      </c>
      <c r="F349" s="13" t="str">
        <f t="shared" si="10"/>
        <v>2022-10</v>
      </c>
    </row>
    <row r="350" spans="1:6" x14ac:dyDescent="0.2">
      <c r="A350" s="2">
        <v>44868</v>
      </c>
      <c r="B350" s="1" t="s">
        <v>314</v>
      </c>
      <c r="C350" s="1" t="s">
        <v>295</v>
      </c>
      <c r="D350" s="4">
        <v>2000</v>
      </c>
      <c r="E350" t="str">
        <f t="shared" si="11"/>
        <v>Direct</v>
      </c>
      <c r="F350" s="13" t="str">
        <f t="shared" si="10"/>
        <v>2022-11</v>
      </c>
    </row>
    <row r="351" spans="1:6" x14ac:dyDescent="0.2">
      <c r="A351" s="2">
        <v>44868</v>
      </c>
      <c r="B351" s="1" t="s">
        <v>9</v>
      </c>
      <c r="C351" s="1" t="s">
        <v>295</v>
      </c>
      <c r="D351" s="4">
        <v>320</v>
      </c>
      <c r="E351" t="str">
        <f t="shared" si="11"/>
        <v>Direct</v>
      </c>
      <c r="F351" s="13" t="str">
        <f t="shared" si="10"/>
        <v>2022-11</v>
      </c>
    </row>
    <row r="352" spans="1:6" x14ac:dyDescent="0.2">
      <c r="A352" s="2">
        <v>44869</v>
      </c>
      <c r="B352" s="1" t="s">
        <v>81</v>
      </c>
      <c r="C352" s="1" t="s">
        <v>994</v>
      </c>
      <c r="D352" s="4">
        <v>525</v>
      </c>
      <c r="E352" t="str">
        <f t="shared" si="11"/>
        <v>Shared</v>
      </c>
      <c r="F352" s="13" t="str">
        <f t="shared" si="10"/>
        <v>2022-11</v>
      </c>
    </row>
    <row r="353" spans="1:6" x14ac:dyDescent="0.2">
      <c r="A353" s="2">
        <v>44869</v>
      </c>
      <c r="B353" s="1" t="s">
        <v>82</v>
      </c>
      <c r="C353" s="1" t="s">
        <v>994</v>
      </c>
      <c r="D353" s="4">
        <v>600</v>
      </c>
      <c r="E353" t="str">
        <f t="shared" si="11"/>
        <v>Shared</v>
      </c>
      <c r="F353" s="13" t="str">
        <f t="shared" si="10"/>
        <v>2022-11</v>
      </c>
    </row>
    <row r="354" spans="1:6" x14ac:dyDescent="0.2">
      <c r="A354" s="2">
        <v>44870</v>
      </c>
      <c r="B354" s="1" t="s">
        <v>375</v>
      </c>
      <c r="C354" s="1" t="s">
        <v>297</v>
      </c>
      <c r="D354" s="4">
        <v>1300</v>
      </c>
      <c r="E354" t="str">
        <f t="shared" si="11"/>
        <v>Direct</v>
      </c>
      <c r="F354" s="13" t="str">
        <f t="shared" si="10"/>
        <v>2022-11</v>
      </c>
    </row>
    <row r="355" spans="1:6" x14ac:dyDescent="0.2">
      <c r="A355" s="2">
        <v>44873</v>
      </c>
      <c r="B355" s="1" t="s">
        <v>83</v>
      </c>
      <c r="C355" s="1" t="s">
        <v>994</v>
      </c>
      <c r="D355" s="4">
        <v>480</v>
      </c>
      <c r="E355" t="str">
        <f t="shared" si="11"/>
        <v>Shared</v>
      </c>
      <c r="F355" s="13" t="str">
        <f t="shared" si="10"/>
        <v>2022-11</v>
      </c>
    </row>
    <row r="356" spans="1:6" x14ac:dyDescent="0.2">
      <c r="A356" s="2">
        <v>44873</v>
      </c>
      <c r="B356" s="1" t="s">
        <v>376</v>
      </c>
      <c r="C356" s="1" t="s">
        <v>297</v>
      </c>
      <c r="D356" s="4">
        <v>800</v>
      </c>
      <c r="E356" t="str">
        <f t="shared" si="11"/>
        <v>Direct</v>
      </c>
      <c r="F356" s="13" t="str">
        <f t="shared" si="10"/>
        <v>2022-11</v>
      </c>
    </row>
    <row r="357" spans="1:6" x14ac:dyDescent="0.2">
      <c r="A357" s="2">
        <v>44873</v>
      </c>
      <c r="B357" s="1" t="s">
        <v>377</v>
      </c>
      <c r="C357" s="1" t="s">
        <v>297</v>
      </c>
      <c r="D357" s="4">
        <v>1900</v>
      </c>
      <c r="E357" t="str">
        <f t="shared" si="11"/>
        <v>Direct</v>
      </c>
      <c r="F357" s="13" t="str">
        <f t="shared" si="10"/>
        <v>2022-11</v>
      </c>
    </row>
    <row r="358" spans="1:6" x14ac:dyDescent="0.2">
      <c r="A358" s="2">
        <v>44873</v>
      </c>
      <c r="B358" s="1" t="s">
        <v>378</v>
      </c>
      <c r="C358" s="1" t="s">
        <v>296</v>
      </c>
      <c r="D358" s="4">
        <v>1500</v>
      </c>
      <c r="E358" t="str">
        <f t="shared" si="11"/>
        <v>Direct</v>
      </c>
      <c r="F358" s="13" t="str">
        <f t="shared" si="10"/>
        <v>2022-11</v>
      </c>
    </row>
    <row r="359" spans="1:6" x14ac:dyDescent="0.2">
      <c r="A359" s="2">
        <v>44873</v>
      </c>
      <c r="B359" s="1" t="s">
        <v>298</v>
      </c>
      <c r="C359" s="1" t="s">
        <v>297</v>
      </c>
      <c r="D359" s="4">
        <v>1200</v>
      </c>
      <c r="E359" t="str">
        <f t="shared" si="11"/>
        <v>Direct</v>
      </c>
      <c r="F359" s="13" t="str">
        <f t="shared" si="10"/>
        <v>2022-11</v>
      </c>
    </row>
    <row r="360" spans="1:6" x14ac:dyDescent="0.2">
      <c r="A360" s="2">
        <v>44873</v>
      </c>
      <c r="B360" s="1" t="s">
        <v>84</v>
      </c>
      <c r="C360" s="1" t="s">
        <v>994</v>
      </c>
      <c r="D360" s="4">
        <v>599</v>
      </c>
      <c r="E360" t="str">
        <f t="shared" si="11"/>
        <v>Shared</v>
      </c>
      <c r="F360" s="13" t="str">
        <f t="shared" si="10"/>
        <v>2022-11</v>
      </c>
    </row>
    <row r="361" spans="1:6" x14ac:dyDescent="0.2">
      <c r="A361" s="2">
        <v>44874</v>
      </c>
      <c r="B361" s="1" t="s">
        <v>298</v>
      </c>
      <c r="C361" s="1" t="s">
        <v>296</v>
      </c>
      <c r="D361" s="4">
        <v>1200</v>
      </c>
      <c r="E361" t="str">
        <f t="shared" si="11"/>
        <v>Direct</v>
      </c>
      <c r="F361" s="13" t="str">
        <f t="shared" si="10"/>
        <v>2022-11</v>
      </c>
    </row>
    <row r="362" spans="1:6" x14ac:dyDescent="0.2">
      <c r="A362" s="2">
        <v>44874</v>
      </c>
      <c r="B362" s="1" t="s">
        <v>88</v>
      </c>
      <c r="C362" s="1" t="s">
        <v>994</v>
      </c>
      <c r="D362" s="4">
        <v>5600</v>
      </c>
      <c r="E362" t="str">
        <f t="shared" si="11"/>
        <v>Shared</v>
      </c>
      <c r="F362" s="13" t="str">
        <f t="shared" si="10"/>
        <v>2022-11</v>
      </c>
    </row>
    <row r="363" spans="1:6" x14ac:dyDescent="0.2">
      <c r="A363" s="2">
        <v>44874</v>
      </c>
      <c r="B363" s="1" t="s">
        <v>89</v>
      </c>
      <c r="C363" s="1" t="s">
        <v>994</v>
      </c>
      <c r="D363" s="4">
        <v>3000</v>
      </c>
      <c r="E363" t="str">
        <f t="shared" si="11"/>
        <v>Shared</v>
      </c>
      <c r="F363" s="13" t="str">
        <f t="shared" si="10"/>
        <v>2022-11</v>
      </c>
    </row>
    <row r="364" spans="1:6" x14ac:dyDescent="0.2">
      <c r="A364" s="2">
        <v>44875</v>
      </c>
      <c r="B364" s="1" t="s">
        <v>380</v>
      </c>
      <c r="C364" s="1" t="s">
        <v>295</v>
      </c>
      <c r="D364" s="4">
        <v>100</v>
      </c>
      <c r="E364" t="str">
        <f t="shared" si="11"/>
        <v>Direct</v>
      </c>
      <c r="F364" s="13" t="str">
        <f t="shared" si="10"/>
        <v>2022-11</v>
      </c>
    </row>
    <row r="365" spans="1:6" x14ac:dyDescent="0.2">
      <c r="A365" s="2">
        <v>44875</v>
      </c>
      <c r="B365" s="1" t="s">
        <v>9</v>
      </c>
      <c r="C365" s="1" t="s">
        <v>295</v>
      </c>
      <c r="D365" s="4">
        <v>240</v>
      </c>
      <c r="E365" t="str">
        <f t="shared" si="11"/>
        <v>Direct</v>
      </c>
      <c r="F365" s="13" t="str">
        <f t="shared" si="10"/>
        <v>2022-11</v>
      </c>
    </row>
    <row r="366" spans="1:6" x14ac:dyDescent="0.2">
      <c r="A366" s="2">
        <v>44875</v>
      </c>
      <c r="B366" s="1" t="s">
        <v>9</v>
      </c>
      <c r="C366" s="1" t="s">
        <v>296</v>
      </c>
      <c r="D366" s="4">
        <v>280</v>
      </c>
      <c r="E366" t="str">
        <f t="shared" si="11"/>
        <v>Direct</v>
      </c>
      <c r="F366" s="13" t="str">
        <f t="shared" si="10"/>
        <v>2022-11</v>
      </c>
    </row>
    <row r="367" spans="1:6" x14ac:dyDescent="0.2">
      <c r="A367" s="2">
        <v>44876</v>
      </c>
      <c r="B367" s="1" t="s">
        <v>314</v>
      </c>
      <c r="C367" s="1" t="s">
        <v>295</v>
      </c>
      <c r="D367" s="4">
        <v>2000</v>
      </c>
      <c r="E367" t="str">
        <f t="shared" si="11"/>
        <v>Direct</v>
      </c>
      <c r="F367" s="13" t="str">
        <f t="shared" si="10"/>
        <v>2022-11</v>
      </c>
    </row>
    <row r="368" spans="1:6" x14ac:dyDescent="0.2">
      <c r="A368" s="2">
        <v>44876</v>
      </c>
      <c r="B368" s="1" t="s">
        <v>90</v>
      </c>
      <c r="C368" s="1" t="s">
        <v>994</v>
      </c>
      <c r="D368" s="4">
        <v>8200</v>
      </c>
      <c r="E368" t="str">
        <f t="shared" si="11"/>
        <v>Shared</v>
      </c>
      <c r="F368" s="13" t="str">
        <f t="shared" si="10"/>
        <v>2022-11</v>
      </c>
    </row>
    <row r="369" spans="1:6" x14ac:dyDescent="0.2">
      <c r="A369" s="2">
        <v>44876</v>
      </c>
      <c r="B369" s="1" t="s">
        <v>91</v>
      </c>
      <c r="C369" s="1" t="s">
        <v>994</v>
      </c>
      <c r="D369" s="4">
        <v>300</v>
      </c>
      <c r="E369" t="str">
        <f t="shared" si="11"/>
        <v>Shared</v>
      </c>
      <c r="F369" s="13" t="str">
        <f t="shared" si="10"/>
        <v>2022-11</v>
      </c>
    </row>
    <row r="370" spans="1:6" x14ac:dyDescent="0.2">
      <c r="A370" s="2">
        <v>44878</v>
      </c>
      <c r="B370" s="1" t="s">
        <v>85</v>
      </c>
      <c r="C370" s="1" t="s">
        <v>297</v>
      </c>
      <c r="D370" s="4">
        <v>3500</v>
      </c>
      <c r="E370" t="str">
        <f t="shared" si="11"/>
        <v>Direct</v>
      </c>
      <c r="F370" s="13" t="str">
        <f t="shared" si="10"/>
        <v>2022-11</v>
      </c>
    </row>
    <row r="371" spans="1:6" x14ac:dyDescent="0.2">
      <c r="A371" s="2">
        <v>44878</v>
      </c>
      <c r="B371" s="1" t="s">
        <v>86</v>
      </c>
      <c r="C371" s="1" t="s">
        <v>297</v>
      </c>
      <c r="D371" s="4">
        <v>1800</v>
      </c>
      <c r="E371" t="str">
        <f t="shared" si="11"/>
        <v>Direct</v>
      </c>
      <c r="F371" s="13" t="str">
        <f t="shared" si="10"/>
        <v>2022-11</v>
      </c>
    </row>
    <row r="372" spans="1:6" x14ac:dyDescent="0.2">
      <c r="A372" s="2">
        <v>44878</v>
      </c>
      <c r="B372" s="1" t="s">
        <v>92</v>
      </c>
      <c r="C372" s="1" t="s">
        <v>994</v>
      </c>
      <c r="D372" s="4">
        <v>1500</v>
      </c>
      <c r="E372" t="str">
        <f t="shared" si="11"/>
        <v>Shared</v>
      </c>
      <c r="F372" s="13" t="str">
        <f t="shared" si="10"/>
        <v>2022-11</v>
      </c>
    </row>
    <row r="373" spans="1:6" x14ac:dyDescent="0.2">
      <c r="A373" s="2">
        <v>44879</v>
      </c>
      <c r="B373" s="1" t="s">
        <v>381</v>
      </c>
      <c r="C373" s="1" t="s">
        <v>297</v>
      </c>
      <c r="D373" s="4">
        <v>2000</v>
      </c>
      <c r="E373" t="str">
        <f t="shared" si="11"/>
        <v>Direct</v>
      </c>
      <c r="F373" s="13" t="str">
        <f t="shared" si="10"/>
        <v>2022-11</v>
      </c>
    </row>
    <row r="374" spans="1:6" x14ac:dyDescent="0.2">
      <c r="A374" s="2">
        <v>44879</v>
      </c>
      <c r="B374" s="1" t="s">
        <v>93</v>
      </c>
      <c r="C374" s="1" t="s">
        <v>994</v>
      </c>
      <c r="D374" s="4">
        <v>300</v>
      </c>
      <c r="E374" t="str">
        <f t="shared" si="11"/>
        <v>Shared</v>
      </c>
      <c r="F374" s="13" t="str">
        <f t="shared" si="10"/>
        <v>2022-11</v>
      </c>
    </row>
    <row r="375" spans="1:6" x14ac:dyDescent="0.2">
      <c r="A375" s="2">
        <v>44880</v>
      </c>
      <c r="B375" s="1" t="s">
        <v>382</v>
      </c>
      <c r="C375" s="1" t="s">
        <v>297</v>
      </c>
      <c r="D375" s="4">
        <v>3720</v>
      </c>
      <c r="E375" t="str">
        <f t="shared" si="11"/>
        <v>Direct</v>
      </c>
      <c r="F375" s="13" t="str">
        <f t="shared" si="10"/>
        <v>2022-11</v>
      </c>
    </row>
    <row r="376" spans="1:6" x14ac:dyDescent="0.2">
      <c r="A376" s="2">
        <v>44881</v>
      </c>
      <c r="B376" s="1" t="s">
        <v>379</v>
      </c>
      <c r="C376" s="1" t="s">
        <v>295</v>
      </c>
      <c r="D376" s="4">
        <v>1200</v>
      </c>
      <c r="E376" t="str">
        <f t="shared" si="11"/>
        <v>Direct</v>
      </c>
      <c r="F376" s="13" t="str">
        <f t="shared" si="10"/>
        <v>2022-11</v>
      </c>
    </row>
    <row r="377" spans="1:6" x14ac:dyDescent="0.2">
      <c r="A377" s="2">
        <v>44881</v>
      </c>
      <c r="B377" s="1" t="s">
        <v>87</v>
      </c>
      <c r="C377" s="1" t="s">
        <v>994</v>
      </c>
      <c r="D377" s="4">
        <v>1300</v>
      </c>
      <c r="E377" t="str">
        <f t="shared" si="11"/>
        <v>Shared</v>
      </c>
      <c r="F377" s="13" t="str">
        <f t="shared" si="10"/>
        <v>2022-11</v>
      </c>
    </row>
    <row r="378" spans="1:6" x14ac:dyDescent="0.2">
      <c r="A378" s="2">
        <v>44881</v>
      </c>
      <c r="B378" s="1" t="s">
        <v>314</v>
      </c>
      <c r="C378" s="1" t="s">
        <v>295</v>
      </c>
      <c r="D378" s="4">
        <v>2000</v>
      </c>
      <c r="E378" t="str">
        <f t="shared" si="11"/>
        <v>Direct</v>
      </c>
      <c r="F378" s="13" t="str">
        <f t="shared" si="10"/>
        <v>2022-11</v>
      </c>
    </row>
    <row r="379" spans="1:6" x14ac:dyDescent="0.2">
      <c r="A379" s="2">
        <v>44881</v>
      </c>
      <c r="B379" s="1" t="s">
        <v>315</v>
      </c>
      <c r="C379" s="1" t="s">
        <v>295</v>
      </c>
      <c r="D379" s="4">
        <v>200</v>
      </c>
      <c r="E379" t="str">
        <f t="shared" si="11"/>
        <v>Direct</v>
      </c>
      <c r="F379" s="13" t="str">
        <f t="shared" si="10"/>
        <v>2022-11</v>
      </c>
    </row>
    <row r="380" spans="1:6" x14ac:dyDescent="0.2">
      <c r="A380" s="2">
        <v>44882</v>
      </c>
      <c r="B380" s="1" t="s">
        <v>9</v>
      </c>
      <c r="C380" s="1" t="s">
        <v>297</v>
      </c>
      <c r="D380" s="4">
        <v>200</v>
      </c>
      <c r="E380" t="str">
        <f t="shared" si="11"/>
        <v>Direct</v>
      </c>
      <c r="F380" s="13" t="str">
        <f t="shared" si="10"/>
        <v>2022-11</v>
      </c>
    </row>
    <row r="381" spans="1:6" x14ac:dyDescent="0.2">
      <c r="A381" s="2">
        <v>44882</v>
      </c>
      <c r="B381" s="1" t="s">
        <v>94</v>
      </c>
      <c r="C381" s="1" t="s">
        <v>994</v>
      </c>
      <c r="D381" s="4">
        <v>500</v>
      </c>
      <c r="E381" t="str">
        <f t="shared" si="11"/>
        <v>Shared</v>
      </c>
      <c r="F381" s="13" t="str">
        <f t="shared" si="10"/>
        <v>2022-11</v>
      </c>
    </row>
    <row r="382" spans="1:6" x14ac:dyDescent="0.2">
      <c r="A382" s="2">
        <v>44884</v>
      </c>
      <c r="B382" s="1" t="s">
        <v>298</v>
      </c>
      <c r="C382" s="1" t="s">
        <v>296</v>
      </c>
      <c r="D382" s="4">
        <v>1200</v>
      </c>
      <c r="E382" t="str">
        <f t="shared" si="11"/>
        <v>Direct</v>
      </c>
      <c r="F382" s="13" t="str">
        <f t="shared" si="10"/>
        <v>2022-11</v>
      </c>
    </row>
    <row r="383" spans="1:6" x14ac:dyDescent="0.2">
      <c r="A383" s="2">
        <v>44884</v>
      </c>
      <c r="B383" s="1" t="s">
        <v>9</v>
      </c>
      <c r="C383" s="1" t="s">
        <v>296</v>
      </c>
      <c r="D383" s="4">
        <v>290</v>
      </c>
      <c r="E383" t="str">
        <f t="shared" si="11"/>
        <v>Direct</v>
      </c>
      <c r="F383" s="13" t="str">
        <f t="shared" si="10"/>
        <v>2022-11</v>
      </c>
    </row>
    <row r="384" spans="1:6" x14ac:dyDescent="0.2">
      <c r="A384" s="2">
        <v>44885</v>
      </c>
      <c r="B384" s="1" t="s">
        <v>1017</v>
      </c>
      <c r="C384" s="1" t="s">
        <v>295</v>
      </c>
      <c r="D384" s="4">
        <v>250</v>
      </c>
      <c r="E384" t="str">
        <f t="shared" si="11"/>
        <v>Direct</v>
      </c>
      <c r="F384" s="13" t="str">
        <f t="shared" si="10"/>
        <v>2022-11</v>
      </c>
    </row>
    <row r="385" spans="1:6" x14ac:dyDescent="0.2">
      <c r="A385" s="2">
        <v>44885</v>
      </c>
      <c r="B385" s="1" t="s">
        <v>383</v>
      </c>
      <c r="C385" s="1" t="s">
        <v>295</v>
      </c>
      <c r="D385" s="4">
        <v>400</v>
      </c>
      <c r="E385" t="str">
        <f t="shared" si="11"/>
        <v>Direct</v>
      </c>
      <c r="F385" s="13" t="str">
        <f t="shared" si="10"/>
        <v>2022-11</v>
      </c>
    </row>
    <row r="386" spans="1:6" x14ac:dyDescent="0.2">
      <c r="A386" s="2">
        <v>44886</v>
      </c>
      <c r="B386" s="1" t="s">
        <v>1018</v>
      </c>
      <c r="C386" s="1" t="s">
        <v>297</v>
      </c>
      <c r="D386" s="4">
        <v>1000</v>
      </c>
      <c r="E386" t="str">
        <f t="shared" si="11"/>
        <v>Direct</v>
      </c>
      <c r="F386" s="13" t="str">
        <f t="shared" ref="F386:F449" si="12">YEAR(A386)&amp;"-"&amp;TEXT(MONTH(A386),"00")</f>
        <v>2022-11</v>
      </c>
    </row>
    <row r="387" spans="1:6" x14ac:dyDescent="0.2">
      <c r="A387" s="2">
        <v>44886</v>
      </c>
      <c r="B387" s="1" t="s">
        <v>95</v>
      </c>
      <c r="C387" s="1" t="s">
        <v>994</v>
      </c>
      <c r="D387" s="4">
        <v>2100</v>
      </c>
      <c r="E387" t="str">
        <f t="shared" ref="E387:E450" si="13">IF(OR(C387="A302", C387="B303", C387="C301"), "Direct", "Shared")</f>
        <v>Shared</v>
      </c>
      <c r="F387" s="13" t="str">
        <f t="shared" si="12"/>
        <v>2022-11</v>
      </c>
    </row>
    <row r="388" spans="1:6" x14ac:dyDescent="0.2">
      <c r="A388" s="2">
        <v>44886</v>
      </c>
      <c r="B388" s="1" t="s">
        <v>96</v>
      </c>
      <c r="C388" s="1" t="s">
        <v>994</v>
      </c>
      <c r="D388" s="4">
        <v>3000</v>
      </c>
      <c r="E388" t="str">
        <f t="shared" si="13"/>
        <v>Shared</v>
      </c>
      <c r="F388" s="13" t="str">
        <f t="shared" si="12"/>
        <v>2022-11</v>
      </c>
    </row>
    <row r="389" spans="1:6" x14ac:dyDescent="0.2">
      <c r="A389" s="2">
        <v>44886</v>
      </c>
      <c r="B389" s="1" t="s">
        <v>97</v>
      </c>
      <c r="C389" s="1" t="s">
        <v>994</v>
      </c>
      <c r="D389" s="4">
        <v>730</v>
      </c>
      <c r="E389" t="str">
        <f t="shared" si="13"/>
        <v>Shared</v>
      </c>
      <c r="F389" s="13" t="str">
        <f t="shared" si="12"/>
        <v>2022-11</v>
      </c>
    </row>
    <row r="390" spans="1:6" x14ac:dyDescent="0.2">
      <c r="A390" s="2">
        <v>44886</v>
      </c>
      <c r="B390" s="3" t="s">
        <v>98</v>
      </c>
      <c r="C390" s="1" t="s">
        <v>994</v>
      </c>
      <c r="D390" s="4">
        <v>1900</v>
      </c>
      <c r="E390" t="str">
        <f t="shared" si="13"/>
        <v>Shared</v>
      </c>
      <c r="F390" s="13" t="str">
        <f t="shared" si="12"/>
        <v>2022-11</v>
      </c>
    </row>
    <row r="391" spans="1:6" x14ac:dyDescent="0.2">
      <c r="A391" s="2">
        <v>44887</v>
      </c>
      <c r="B391" s="1" t="s">
        <v>384</v>
      </c>
      <c r="C391" s="1" t="s">
        <v>297</v>
      </c>
      <c r="D391" s="4">
        <v>1200</v>
      </c>
      <c r="E391" t="str">
        <f t="shared" si="13"/>
        <v>Direct</v>
      </c>
      <c r="F391" s="13" t="str">
        <f t="shared" si="12"/>
        <v>2022-11</v>
      </c>
    </row>
    <row r="392" spans="1:6" x14ac:dyDescent="0.2">
      <c r="A392" s="2">
        <v>44887</v>
      </c>
      <c r="B392" s="1" t="s">
        <v>385</v>
      </c>
      <c r="C392" s="1" t="s">
        <v>297</v>
      </c>
      <c r="D392" s="4">
        <v>222</v>
      </c>
      <c r="E392" t="str">
        <f t="shared" si="13"/>
        <v>Direct</v>
      </c>
      <c r="F392" s="13" t="str">
        <f t="shared" si="12"/>
        <v>2022-11</v>
      </c>
    </row>
    <row r="393" spans="1:6" x14ac:dyDescent="0.2">
      <c r="A393" s="2">
        <v>44887</v>
      </c>
      <c r="B393" s="1" t="s">
        <v>99</v>
      </c>
      <c r="C393" s="1" t="s">
        <v>994</v>
      </c>
      <c r="D393" s="4">
        <v>1200</v>
      </c>
      <c r="E393" t="str">
        <f t="shared" si="13"/>
        <v>Shared</v>
      </c>
      <c r="F393" s="13" t="str">
        <f t="shared" si="12"/>
        <v>2022-11</v>
      </c>
    </row>
    <row r="394" spans="1:6" x14ac:dyDescent="0.2">
      <c r="A394" s="2">
        <v>44887</v>
      </c>
      <c r="B394" s="1" t="s">
        <v>100</v>
      </c>
      <c r="C394" s="1" t="s">
        <v>994</v>
      </c>
      <c r="D394" s="4">
        <v>240</v>
      </c>
      <c r="E394" t="str">
        <f t="shared" si="13"/>
        <v>Shared</v>
      </c>
      <c r="F394" s="13" t="str">
        <f t="shared" si="12"/>
        <v>2022-11</v>
      </c>
    </row>
    <row r="395" spans="1:6" x14ac:dyDescent="0.2">
      <c r="A395" s="2">
        <v>44887</v>
      </c>
      <c r="B395" s="1" t="s">
        <v>101</v>
      </c>
      <c r="C395" s="1" t="s">
        <v>994</v>
      </c>
      <c r="D395" s="4">
        <v>845</v>
      </c>
      <c r="E395" t="str">
        <f t="shared" si="13"/>
        <v>Shared</v>
      </c>
      <c r="F395" s="13" t="str">
        <f t="shared" si="12"/>
        <v>2022-11</v>
      </c>
    </row>
    <row r="396" spans="1:6" x14ac:dyDescent="0.2">
      <c r="A396" s="2">
        <v>44887</v>
      </c>
      <c r="B396" s="1" t="s">
        <v>386</v>
      </c>
      <c r="C396" s="1" t="s">
        <v>297</v>
      </c>
      <c r="D396" s="4">
        <v>600</v>
      </c>
      <c r="E396" t="str">
        <f t="shared" si="13"/>
        <v>Direct</v>
      </c>
      <c r="F396" s="13" t="str">
        <f t="shared" si="12"/>
        <v>2022-11</v>
      </c>
    </row>
    <row r="397" spans="1:6" x14ac:dyDescent="0.2">
      <c r="A397" s="2">
        <v>44887</v>
      </c>
      <c r="B397" s="1" t="s">
        <v>1019</v>
      </c>
      <c r="C397" s="1" t="s">
        <v>994</v>
      </c>
      <c r="D397" s="4">
        <v>520</v>
      </c>
      <c r="E397" t="str">
        <f t="shared" si="13"/>
        <v>Shared</v>
      </c>
      <c r="F397" s="13" t="str">
        <f t="shared" si="12"/>
        <v>2022-11</v>
      </c>
    </row>
    <row r="398" spans="1:6" x14ac:dyDescent="0.2">
      <c r="A398" s="2">
        <v>44889</v>
      </c>
      <c r="B398" s="1" t="s">
        <v>325</v>
      </c>
      <c r="C398" s="1" t="s">
        <v>295</v>
      </c>
      <c r="D398" s="4">
        <v>1200</v>
      </c>
      <c r="E398" t="str">
        <f t="shared" si="13"/>
        <v>Direct</v>
      </c>
      <c r="F398" s="13" t="str">
        <f t="shared" si="12"/>
        <v>2022-11</v>
      </c>
    </row>
    <row r="399" spans="1:6" x14ac:dyDescent="0.2">
      <c r="A399" s="2">
        <v>44889</v>
      </c>
      <c r="B399" s="1" t="s">
        <v>385</v>
      </c>
      <c r="C399" s="1" t="s">
        <v>295</v>
      </c>
      <c r="D399" s="4">
        <v>290</v>
      </c>
      <c r="E399" t="str">
        <f t="shared" si="13"/>
        <v>Direct</v>
      </c>
      <c r="F399" s="13" t="str">
        <f t="shared" si="12"/>
        <v>2022-11</v>
      </c>
    </row>
    <row r="400" spans="1:6" x14ac:dyDescent="0.2">
      <c r="A400" s="2">
        <v>44889</v>
      </c>
      <c r="B400" s="1" t="s">
        <v>1020</v>
      </c>
      <c r="C400" s="1" t="s">
        <v>994</v>
      </c>
      <c r="D400" s="4">
        <v>1300</v>
      </c>
      <c r="E400" t="str">
        <f t="shared" si="13"/>
        <v>Shared</v>
      </c>
      <c r="F400" s="13" t="str">
        <f t="shared" si="12"/>
        <v>2022-11</v>
      </c>
    </row>
    <row r="401" spans="1:6" x14ac:dyDescent="0.2">
      <c r="A401" s="2">
        <v>44889</v>
      </c>
      <c r="B401" s="1" t="s">
        <v>387</v>
      </c>
      <c r="C401" s="1" t="s">
        <v>295</v>
      </c>
      <c r="D401" s="4">
        <v>400</v>
      </c>
      <c r="E401" t="str">
        <f t="shared" si="13"/>
        <v>Direct</v>
      </c>
      <c r="F401" s="13" t="str">
        <f t="shared" si="12"/>
        <v>2022-11</v>
      </c>
    </row>
    <row r="402" spans="1:6" x14ac:dyDescent="0.2">
      <c r="A402" s="2">
        <v>44890</v>
      </c>
      <c r="B402" s="1" t="s">
        <v>102</v>
      </c>
      <c r="C402" s="1" t="s">
        <v>994</v>
      </c>
      <c r="D402" s="4">
        <v>50</v>
      </c>
      <c r="E402" t="str">
        <f t="shared" si="13"/>
        <v>Shared</v>
      </c>
      <c r="F402" s="13" t="str">
        <f t="shared" si="12"/>
        <v>2022-11</v>
      </c>
    </row>
    <row r="403" spans="1:6" x14ac:dyDescent="0.2">
      <c r="A403" s="2">
        <v>44890</v>
      </c>
      <c r="B403" s="1" t="s">
        <v>103</v>
      </c>
      <c r="C403" s="1" t="s">
        <v>994</v>
      </c>
      <c r="D403" s="4">
        <v>1800</v>
      </c>
      <c r="E403" t="str">
        <f t="shared" si="13"/>
        <v>Shared</v>
      </c>
      <c r="F403" s="13" t="str">
        <f t="shared" si="12"/>
        <v>2022-11</v>
      </c>
    </row>
    <row r="404" spans="1:6" x14ac:dyDescent="0.2">
      <c r="A404" s="2">
        <v>44890</v>
      </c>
      <c r="B404" s="1" t="s">
        <v>104</v>
      </c>
      <c r="C404" s="1" t="s">
        <v>994</v>
      </c>
      <c r="D404" s="4">
        <v>1000</v>
      </c>
      <c r="E404" t="str">
        <f t="shared" si="13"/>
        <v>Shared</v>
      </c>
      <c r="F404" s="13" t="str">
        <f t="shared" si="12"/>
        <v>2022-11</v>
      </c>
    </row>
    <row r="405" spans="1:6" x14ac:dyDescent="0.2">
      <c r="A405" s="2">
        <v>44890</v>
      </c>
      <c r="B405" s="1" t="s">
        <v>9</v>
      </c>
      <c r="C405" s="1" t="s">
        <v>295</v>
      </c>
      <c r="D405" s="4">
        <v>200</v>
      </c>
      <c r="E405" t="str">
        <f t="shared" si="13"/>
        <v>Direct</v>
      </c>
      <c r="F405" s="13" t="str">
        <f t="shared" si="12"/>
        <v>2022-11</v>
      </c>
    </row>
    <row r="406" spans="1:6" x14ac:dyDescent="0.2">
      <c r="A406" s="2">
        <v>44890</v>
      </c>
      <c r="B406" s="1" t="s">
        <v>389</v>
      </c>
      <c r="C406" s="1" t="s">
        <v>295</v>
      </c>
      <c r="D406" s="4">
        <v>500</v>
      </c>
      <c r="E406" t="str">
        <f t="shared" si="13"/>
        <v>Direct</v>
      </c>
      <c r="F406" s="13" t="str">
        <f t="shared" si="12"/>
        <v>2022-11</v>
      </c>
    </row>
    <row r="407" spans="1:6" x14ac:dyDescent="0.2">
      <c r="A407" s="2">
        <v>44891</v>
      </c>
      <c r="B407" s="1" t="s">
        <v>1021</v>
      </c>
      <c r="C407" s="1" t="s">
        <v>297</v>
      </c>
      <c r="D407" s="4">
        <v>3600</v>
      </c>
      <c r="E407" t="str">
        <f t="shared" si="13"/>
        <v>Direct</v>
      </c>
      <c r="F407" s="13" t="str">
        <f t="shared" si="12"/>
        <v>2022-11</v>
      </c>
    </row>
    <row r="408" spans="1:6" x14ac:dyDescent="0.2">
      <c r="A408" s="2">
        <v>44891</v>
      </c>
      <c r="B408" s="1" t="s">
        <v>72</v>
      </c>
      <c r="C408" s="1" t="s">
        <v>994</v>
      </c>
      <c r="D408" s="4">
        <v>120</v>
      </c>
      <c r="E408" t="str">
        <f t="shared" si="13"/>
        <v>Shared</v>
      </c>
      <c r="F408" s="13" t="str">
        <f t="shared" si="12"/>
        <v>2022-11</v>
      </c>
    </row>
    <row r="409" spans="1:6" x14ac:dyDescent="0.2">
      <c r="A409" s="2">
        <v>44891</v>
      </c>
      <c r="B409" s="1" t="s">
        <v>388</v>
      </c>
      <c r="C409" s="1" t="s">
        <v>295</v>
      </c>
      <c r="D409" s="4">
        <v>300</v>
      </c>
      <c r="E409" t="str">
        <f t="shared" si="13"/>
        <v>Direct</v>
      </c>
      <c r="F409" s="13" t="str">
        <f t="shared" si="12"/>
        <v>2022-11</v>
      </c>
    </row>
    <row r="410" spans="1:6" x14ac:dyDescent="0.2">
      <c r="A410" s="2">
        <v>44893</v>
      </c>
      <c r="B410" s="1" t="s">
        <v>105</v>
      </c>
      <c r="C410" s="1" t="s">
        <v>994</v>
      </c>
      <c r="D410" s="4">
        <v>300</v>
      </c>
      <c r="E410" t="str">
        <f t="shared" si="13"/>
        <v>Shared</v>
      </c>
      <c r="F410" s="13" t="str">
        <f t="shared" si="12"/>
        <v>2022-11</v>
      </c>
    </row>
    <row r="411" spans="1:6" x14ac:dyDescent="0.2">
      <c r="A411" s="2">
        <v>44894</v>
      </c>
      <c r="B411" s="1" t="s">
        <v>106</v>
      </c>
      <c r="C411" s="1" t="s">
        <v>994</v>
      </c>
      <c r="D411" s="4">
        <v>200</v>
      </c>
      <c r="E411" t="str">
        <f t="shared" si="13"/>
        <v>Shared</v>
      </c>
      <c r="F411" s="13" t="str">
        <f t="shared" si="12"/>
        <v>2022-11</v>
      </c>
    </row>
    <row r="412" spans="1:6" x14ac:dyDescent="0.2">
      <c r="A412" s="2">
        <v>44895</v>
      </c>
      <c r="B412" s="1" t="s">
        <v>1022</v>
      </c>
      <c r="C412" s="1" t="s">
        <v>297</v>
      </c>
      <c r="D412" s="4">
        <v>800</v>
      </c>
      <c r="E412" t="str">
        <f t="shared" si="13"/>
        <v>Direct</v>
      </c>
      <c r="F412" s="13" t="str">
        <f t="shared" si="12"/>
        <v>2022-11</v>
      </c>
    </row>
    <row r="413" spans="1:6" x14ac:dyDescent="0.2">
      <c r="A413" s="2">
        <v>44896</v>
      </c>
      <c r="B413" s="1" t="s">
        <v>1023</v>
      </c>
      <c r="C413" s="1" t="s">
        <v>297</v>
      </c>
      <c r="D413" s="4">
        <v>900</v>
      </c>
      <c r="E413" t="str">
        <f t="shared" si="13"/>
        <v>Direct</v>
      </c>
      <c r="F413" s="13" t="str">
        <f t="shared" si="12"/>
        <v>2022-12</v>
      </c>
    </row>
    <row r="414" spans="1:6" x14ac:dyDescent="0.2">
      <c r="A414" s="2">
        <v>44898</v>
      </c>
      <c r="B414" s="1" t="s">
        <v>298</v>
      </c>
      <c r="C414" s="1" t="s">
        <v>296</v>
      </c>
      <c r="D414" s="4">
        <v>1200</v>
      </c>
      <c r="E414" t="str">
        <f t="shared" si="13"/>
        <v>Direct</v>
      </c>
      <c r="F414" s="13" t="str">
        <f t="shared" si="12"/>
        <v>2022-12</v>
      </c>
    </row>
    <row r="415" spans="1:6" x14ac:dyDescent="0.2">
      <c r="A415" s="2">
        <v>44898</v>
      </c>
      <c r="B415" s="1" t="s">
        <v>9</v>
      </c>
      <c r="C415" s="1" t="s">
        <v>296</v>
      </c>
      <c r="D415" s="4">
        <v>200</v>
      </c>
      <c r="E415" t="str">
        <f t="shared" si="13"/>
        <v>Direct</v>
      </c>
      <c r="F415" s="13" t="str">
        <f t="shared" si="12"/>
        <v>2022-12</v>
      </c>
    </row>
    <row r="416" spans="1:6" x14ac:dyDescent="0.2">
      <c r="A416" s="2">
        <v>44899</v>
      </c>
      <c r="B416" s="1" t="s">
        <v>298</v>
      </c>
      <c r="C416" s="1" t="s">
        <v>295</v>
      </c>
      <c r="D416" s="4">
        <v>1200</v>
      </c>
      <c r="E416" t="str">
        <f t="shared" si="13"/>
        <v>Direct</v>
      </c>
      <c r="F416" s="13" t="str">
        <f t="shared" si="12"/>
        <v>2022-12</v>
      </c>
    </row>
    <row r="417" spans="1:6" x14ac:dyDescent="0.2">
      <c r="A417" s="2">
        <v>44899</v>
      </c>
      <c r="B417" s="1" t="s">
        <v>9</v>
      </c>
      <c r="C417" s="1" t="s">
        <v>295</v>
      </c>
      <c r="D417" s="4">
        <v>200</v>
      </c>
      <c r="E417" t="str">
        <f t="shared" si="13"/>
        <v>Direct</v>
      </c>
      <c r="F417" s="13" t="str">
        <f t="shared" si="12"/>
        <v>2022-12</v>
      </c>
    </row>
    <row r="418" spans="1:6" x14ac:dyDescent="0.2">
      <c r="A418" s="2">
        <v>44899</v>
      </c>
      <c r="B418" s="1" t="s">
        <v>107</v>
      </c>
      <c r="C418" s="1" t="s">
        <v>994</v>
      </c>
      <c r="D418" s="4">
        <v>2500</v>
      </c>
      <c r="E418" t="str">
        <f t="shared" si="13"/>
        <v>Shared</v>
      </c>
      <c r="F418" s="13" t="str">
        <f t="shared" si="12"/>
        <v>2022-12</v>
      </c>
    </row>
    <row r="419" spans="1:6" x14ac:dyDescent="0.2">
      <c r="A419" s="2">
        <v>44899</v>
      </c>
      <c r="B419" s="1" t="s">
        <v>108</v>
      </c>
      <c r="C419" s="1" t="s">
        <v>994</v>
      </c>
      <c r="D419" s="4">
        <v>1800</v>
      </c>
      <c r="E419" t="str">
        <f t="shared" si="13"/>
        <v>Shared</v>
      </c>
      <c r="F419" s="13" t="str">
        <f t="shared" si="12"/>
        <v>2022-12</v>
      </c>
    </row>
    <row r="420" spans="1:6" x14ac:dyDescent="0.2">
      <c r="A420" s="2">
        <v>44902</v>
      </c>
      <c r="B420" s="1" t="s">
        <v>306</v>
      </c>
      <c r="C420" s="1" t="s">
        <v>295</v>
      </c>
      <c r="D420" s="4">
        <v>800</v>
      </c>
      <c r="E420" t="str">
        <f t="shared" si="13"/>
        <v>Direct</v>
      </c>
      <c r="F420" s="13" t="str">
        <f t="shared" si="12"/>
        <v>2022-12</v>
      </c>
    </row>
    <row r="421" spans="1:6" x14ac:dyDescent="0.2">
      <c r="A421" s="2">
        <v>44902</v>
      </c>
      <c r="B421" s="1" t="s">
        <v>313</v>
      </c>
      <c r="C421" s="1" t="s">
        <v>295</v>
      </c>
      <c r="D421" s="4">
        <v>200</v>
      </c>
      <c r="E421" t="str">
        <f t="shared" si="13"/>
        <v>Direct</v>
      </c>
      <c r="F421" s="13" t="str">
        <f t="shared" si="12"/>
        <v>2022-12</v>
      </c>
    </row>
    <row r="422" spans="1:6" x14ac:dyDescent="0.2">
      <c r="A422" s="2">
        <v>44902</v>
      </c>
      <c r="B422" s="1" t="s">
        <v>1024</v>
      </c>
      <c r="C422" s="1" t="s">
        <v>295</v>
      </c>
      <c r="D422" s="4">
        <v>350</v>
      </c>
      <c r="E422" t="str">
        <f t="shared" si="13"/>
        <v>Direct</v>
      </c>
      <c r="F422" s="13" t="str">
        <f t="shared" si="12"/>
        <v>2022-12</v>
      </c>
    </row>
    <row r="423" spans="1:6" x14ac:dyDescent="0.2">
      <c r="A423" s="2">
        <v>44902</v>
      </c>
      <c r="B423" s="1" t="s">
        <v>390</v>
      </c>
      <c r="C423" s="1" t="s">
        <v>297</v>
      </c>
      <c r="D423" s="4">
        <v>620</v>
      </c>
      <c r="E423" t="str">
        <f t="shared" si="13"/>
        <v>Direct</v>
      </c>
      <c r="F423" s="13" t="str">
        <f t="shared" si="12"/>
        <v>2022-12</v>
      </c>
    </row>
    <row r="424" spans="1:6" x14ac:dyDescent="0.2">
      <c r="A424" s="2">
        <v>44902</v>
      </c>
      <c r="B424" s="1" t="s">
        <v>1025</v>
      </c>
      <c r="C424" s="1" t="s">
        <v>295</v>
      </c>
      <c r="D424" s="4">
        <v>300</v>
      </c>
      <c r="E424" t="str">
        <f t="shared" si="13"/>
        <v>Direct</v>
      </c>
      <c r="F424" s="13" t="str">
        <f t="shared" si="12"/>
        <v>2022-12</v>
      </c>
    </row>
    <row r="425" spans="1:6" x14ac:dyDescent="0.2">
      <c r="A425" s="2">
        <v>44902</v>
      </c>
      <c r="B425" s="1" t="s">
        <v>391</v>
      </c>
      <c r="C425" s="1" t="s">
        <v>296</v>
      </c>
      <c r="D425" s="4">
        <v>200</v>
      </c>
      <c r="E425" t="str">
        <f t="shared" si="13"/>
        <v>Direct</v>
      </c>
      <c r="F425" s="13" t="str">
        <f t="shared" si="12"/>
        <v>2022-12</v>
      </c>
    </row>
    <row r="426" spans="1:6" x14ac:dyDescent="0.2">
      <c r="A426" s="2">
        <v>44903</v>
      </c>
      <c r="B426" s="1" t="s">
        <v>1026</v>
      </c>
      <c r="C426" s="1" t="s">
        <v>994</v>
      </c>
      <c r="D426" s="4">
        <v>400</v>
      </c>
      <c r="E426" t="str">
        <f t="shared" si="13"/>
        <v>Shared</v>
      </c>
      <c r="F426" s="13" t="str">
        <f t="shared" si="12"/>
        <v>2022-12</v>
      </c>
    </row>
    <row r="427" spans="1:6" x14ac:dyDescent="0.2">
      <c r="A427" s="2">
        <v>44903</v>
      </c>
      <c r="B427" s="1" t="s">
        <v>298</v>
      </c>
      <c r="C427" s="1" t="s">
        <v>296</v>
      </c>
      <c r="D427" s="4">
        <v>1200</v>
      </c>
      <c r="E427" t="str">
        <f t="shared" si="13"/>
        <v>Direct</v>
      </c>
      <c r="F427" s="13" t="str">
        <f t="shared" si="12"/>
        <v>2022-12</v>
      </c>
    </row>
    <row r="428" spans="1:6" x14ac:dyDescent="0.2">
      <c r="A428" s="2">
        <v>44903</v>
      </c>
      <c r="B428" s="1" t="s">
        <v>9</v>
      </c>
      <c r="C428" s="1" t="s">
        <v>296</v>
      </c>
      <c r="D428" s="4">
        <v>220</v>
      </c>
      <c r="E428" t="str">
        <f t="shared" si="13"/>
        <v>Direct</v>
      </c>
      <c r="F428" s="13" t="str">
        <f t="shared" si="12"/>
        <v>2022-12</v>
      </c>
    </row>
    <row r="429" spans="1:6" x14ac:dyDescent="0.2">
      <c r="A429" s="2">
        <v>44903</v>
      </c>
      <c r="B429" s="1" t="s">
        <v>392</v>
      </c>
      <c r="C429" s="1" t="s">
        <v>297</v>
      </c>
      <c r="D429" s="4">
        <v>480</v>
      </c>
      <c r="E429" t="str">
        <f t="shared" si="13"/>
        <v>Direct</v>
      </c>
      <c r="F429" s="13" t="str">
        <f t="shared" si="12"/>
        <v>2022-12</v>
      </c>
    </row>
    <row r="430" spans="1:6" x14ac:dyDescent="0.2">
      <c r="A430" s="2">
        <v>44903</v>
      </c>
      <c r="B430" s="1" t="s">
        <v>393</v>
      </c>
      <c r="C430" s="1" t="s">
        <v>296</v>
      </c>
      <c r="D430" s="4">
        <v>100</v>
      </c>
      <c r="E430" t="str">
        <f t="shared" si="13"/>
        <v>Direct</v>
      </c>
      <c r="F430" s="13" t="str">
        <f t="shared" si="12"/>
        <v>2022-12</v>
      </c>
    </row>
    <row r="431" spans="1:6" x14ac:dyDescent="0.2">
      <c r="A431" s="2">
        <v>44903</v>
      </c>
      <c r="B431" s="1" t="s">
        <v>109</v>
      </c>
      <c r="C431" s="1" t="s">
        <v>994</v>
      </c>
      <c r="D431" s="4">
        <v>400</v>
      </c>
      <c r="E431" t="str">
        <f t="shared" si="13"/>
        <v>Shared</v>
      </c>
      <c r="F431" s="13" t="str">
        <f t="shared" si="12"/>
        <v>2022-12</v>
      </c>
    </row>
    <row r="432" spans="1:6" x14ac:dyDescent="0.2">
      <c r="A432" s="2">
        <v>44904</v>
      </c>
      <c r="B432" s="1" t="s">
        <v>110</v>
      </c>
      <c r="C432" s="1" t="s">
        <v>994</v>
      </c>
      <c r="D432" s="4">
        <v>800</v>
      </c>
      <c r="E432" t="str">
        <f t="shared" si="13"/>
        <v>Shared</v>
      </c>
      <c r="F432" s="13" t="str">
        <f t="shared" si="12"/>
        <v>2022-12</v>
      </c>
    </row>
    <row r="433" spans="1:6" x14ac:dyDescent="0.2">
      <c r="A433" s="2">
        <v>44904</v>
      </c>
      <c r="B433" s="1" t="s">
        <v>111</v>
      </c>
      <c r="C433" s="1" t="s">
        <v>994</v>
      </c>
      <c r="D433" s="4">
        <v>1200</v>
      </c>
      <c r="E433" t="str">
        <f t="shared" si="13"/>
        <v>Shared</v>
      </c>
      <c r="F433" s="13" t="str">
        <f t="shared" si="12"/>
        <v>2022-12</v>
      </c>
    </row>
    <row r="434" spans="1:6" x14ac:dyDescent="0.2">
      <c r="A434" s="2">
        <v>44906</v>
      </c>
      <c r="B434" s="1" t="s">
        <v>298</v>
      </c>
      <c r="C434" s="1" t="s">
        <v>296</v>
      </c>
      <c r="D434" s="4">
        <v>1200</v>
      </c>
      <c r="E434" t="str">
        <f t="shared" si="13"/>
        <v>Direct</v>
      </c>
      <c r="F434" s="13" t="str">
        <f t="shared" si="12"/>
        <v>2022-12</v>
      </c>
    </row>
    <row r="435" spans="1:6" x14ac:dyDescent="0.2">
      <c r="A435" s="2">
        <v>44906</v>
      </c>
      <c r="B435" s="1" t="s">
        <v>9</v>
      </c>
      <c r="C435" s="1" t="s">
        <v>296</v>
      </c>
      <c r="D435" s="4">
        <v>220</v>
      </c>
      <c r="E435" t="str">
        <f t="shared" si="13"/>
        <v>Direct</v>
      </c>
      <c r="F435" s="13" t="str">
        <f t="shared" si="12"/>
        <v>2022-12</v>
      </c>
    </row>
    <row r="436" spans="1:6" x14ac:dyDescent="0.2">
      <c r="A436" s="2">
        <v>44907</v>
      </c>
      <c r="B436" s="1" t="s">
        <v>112</v>
      </c>
      <c r="C436" s="1" t="s">
        <v>994</v>
      </c>
      <c r="D436" s="4">
        <v>900</v>
      </c>
      <c r="E436" t="str">
        <f t="shared" si="13"/>
        <v>Shared</v>
      </c>
      <c r="F436" s="13" t="str">
        <f t="shared" si="12"/>
        <v>2022-12</v>
      </c>
    </row>
    <row r="437" spans="1:6" x14ac:dyDescent="0.2">
      <c r="A437" s="2">
        <v>44914</v>
      </c>
      <c r="B437" s="1" t="s">
        <v>113</v>
      </c>
      <c r="C437" s="1" t="s">
        <v>994</v>
      </c>
      <c r="D437" s="4">
        <v>2400</v>
      </c>
      <c r="E437" t="str">
        <f t="shared" si="13"/>
        <v>Shared</v>
      </c>
      <c r="F437" s="13" t="str">
        <f t="shared" si="12"/>
        <v>2022-12</v>
      </c>
    </row>
    <row r="438" spans="1:6" x14ac:dyDescent="0.2">
      <c r="A438" s="2">
        <v>44914</v>
      </c>
      <c r="B438" s="1" t="s">
        <v>5</v>
      </c>
      <c r="C438" s="1" t="s">
        <v>994</v>
      </c>
      <c r="D438" s="4">
        <v>3300</v>
      </c>
      <c r="E438" t="str">
        <f t="shared" si="13"/>
        <v>Shared</v>
      </c>
      <c r="F438" s="13" t="str">
        <f t="shared" si="12"/>
        <v>2022-12</v>
      </c>
    </row>
    <row r="439" spans="1:6" x14ac:dyDescent="0.2">
      <c r="A439" s="2">
        <v>44914</v>
      </c>
      <c r="B439" s="1" t="s">
        <v>394</v>
      </c>
      <c r="C439" s="1" t="s">
        <v>297</v>
      </c>
      <c r="D439" s="4">
        <v>150</v>
      </c>
      <c r="E439" t="str">
        <f t="shared" si="13"/>
        <v>Direct</v>
      </c>
      <c r="F439" s="13" t="str">
        <f t="shared" si="12"/>
        <v>2022-12</v>
      </c>
    </row>
    <row r="440" spans="1:6" x14ac:dyDescent="0.2">
      <c r="A440" s="2">
        <v>44915</v>
      </c>
      <c r="B440" s="1" t="s">
        <v>114</v>
      </c>
      <c r="C440" s="1" t="s">
        <v>994</v>
      </c>
      <c r="D440" s="4">
        <v>4350</v>
      </c>
      <c r="E440" t="str">
        <f t="shared" si="13"/>
        <v>Shared</v>
      </c>
      <c r="F440" s="13" t="str">
        <f t="shared" si="12"/>
        <v>2022-12</v>
      </c>
    </row>
    <row r="441" spans="1:6" x14ac:dyDescent="0.2">
      <c r="A441" s="2">
        <v>44915</v>
      </c>
      <c r="B441" s="1" t="s">
        <v>395</v>
      </c>
      <c r="C441" s="1" t="s">
        <v>295</v>
      </c>
      <c r="D441" s="4">
        <v>3940</v>
      </c>
      <c r="E441" t="str">
        <f t="shared" si="13"/>
        <v>Direct</v>
      </c>
      <c r="F441" s="13" t="str">
        <f t="shared" si="12"/>
        <v>2022-12</v>
      </c>
    </row>
    <row r="442" spans="1:6" x14ac:dyDescent="0.2">
      <c r="A442" s="2">
        <v>44915</v>
      </c>
      <c r="B442" s="1" t="s">
        <v>1027</v>
      </c>
      <c r="C442" s="1" t="s">
        <v>295</v>
      </c>
      <c r="D442" s="4">
        <v>2000</v>
      </c>
      <c r="E442" t="str">
        <f t="shared" si="13"/>
        <v>Direct</v>
      </c>
      <c r="F442" s="13" t="str">
        <f t="shared" si="12"/>
        <v>2022-12</v>
      </c>
    </row>
    <row r="443" spans="1:6" x14ac:dyDescent="0.2">
      <c r="A443" s="2">
        <v>44915</v>
      </c>
      <c r="B443" s="1" t="s">
        <v>396</v>
      </c>
      <c r="C443" s="1" t="s">
        <v>295</v>
      </c>
      <c r="D443" s="4">
        <v>1000</v>
      </c>
      <c r="E443" t="str">
        <f t="shared" si="13"/>
        <v>Direct</v>
      </c>
      <c r="F443" s="13" t="str">
        <f t="shared" si="12"/>
        <v>2022-12</v>
      </c>
    </row>
    <row r="444" spans="1:6" x14ac:dyDescent="0.2">
      <c r="A444" s="2">
        <v>44915</v>
      </c>
      <c r="B444" s="1" t="s">
        <v>397</v>
      </c>
      <c r="C444" s="1" t="s">
        <v>296</v>
      </c>
      <c r="D444" s="4">
        <v>400</v>
      </c>
      <c r="E444" t="str">
        <f t="shared" si="13"/>
        <v>Direct</v>
      </c>
      <c r="F444" s="13" t="str">
        <f t="shared" si="12"/>
        <v>2022-12</v>
      </c>
    </row>
    <row r="445" spans="1:6" x14ac:dyDescent="0.2">
      <c r="A445" s="2">
        <v>44916</v>
      </c>
      <c r="B445" s="1" t="s">
        <v>115</v>
      </c>
      <c r="C445" s="1" t="s">
        <v>994</v>
      </c>
      <c r="D445" s="4">
        <v>210</v>
      </c>
      <c r="E445" t="str">
        <f t="shared" si="13"/>
        <v>Shared</v>
      </c>
      <c r="F445" s="13" t="str">
        <f t="shared" si="12"/>
        <v>2022-12</v>
      </c>
    </row>
    <row r="446" spans="1:6" x14ac:dyDescent="0.2">
      <c r="A446" s="2">
        <v>44917</v>
      </c>
      <c r="B446" s="1" t="s">
        <v>398</v>
      </c>
      <c r="C446" s="1" t="s">
        <v>297</v>
      </c>
      <c r="D446" s="4">
        <v>3900</v>
      </c>
      <c r="E446" t="str">
        <f t="shared" si="13"/>
        <v>Direct</v>
      </c>
      <c r="F446" s="13" t="str">
        <f t="shared" si="12"/>
        <v>2022-12</v>
      </c>
    </row>
    <row r="447" spans="1:6" x14ac:dyDescent="0.2">
      <c r="A447" s="2">
        <v>44918</v>
      </c>
      <c r="B447" s="1" t="s">
        <v>1028</v>
      </c>
      <c r="C447" s="1" t="s">
        <v>295</v>
      </c>
      <c r="D447" s="4">
        <v>3960</v>
      </c>
      <c r="E447" t="str">
        <f t="shared" si="13"/>
        <v>Direct</v>
      </c>
      <c r="F447" s="13" t="str">
        <f t="shared" si="12"/>
        <v>2022-12</v>
      </c>
    </row>
    <row r="448" spans="1:6" x14ac:dyDescent="0.2">
      <c r="A448" s="2">
        <v>44918</v>
      </c>
      <c r="B448" s="1" t="s">
        <v>373</v>
      </c>
      <c r="C448" s="1" t="s">
        <v>297</v>
      </c>
      <c r="D448" s="4">
        <v>500</v>
      </c>
      <c r="E448" t="str">
        <f t="shared" si="13"/>
        <v>Direct</v>
      </c>
      <c r="F448" s="13" t="str">
        <f t="shared" si="12"/>
        <v>2022-12</v>
      </c>
    </row>
    <row r="449" spans="1:6" x14ac:dyDescent="0.2">
      <c r="A449" s="2">
        <v>44920</v>
      </c>
      <c r="B449" s="1" t="s">
        <v>298</v>
      </c>
      <c r="C449" s="1" t="s">
        <v>296</v>
      </c>
      <c r="D449" s="4">
        <v>1200</v>
      </c>
      <c r="E449" t="str">
        <f t="shared" si="13"/>
        <v>Direct</v>
      </c>
      <c r="F449" s="13" t="str">
        <f t="shared" si="12"/>
        <v>2022-12</v>
      </c>
    </row>
    <row r="450" spans="1:6" x14ac:dyDescent="0.2">
      <c r="A450" s="2">
        <v>44920</v>
      </c>
      <c r="B450" s="1" t="s">
        <v>306</v>
      </c>
      <c r="C450" s="1" t="s">
        <v>295</v>
      </c>
      <c r="D450" s="4">
        <v>800</v>
      </c>
      <c r="E450" t="str">
        <f t="shared" si="13"/>
        <v>Direct</v>
      </c>
      <c r="F450" s="13" t="str">
        <f t="shared" ref="F450:F513" si="14">YEAR(A450)&amp;"-"&amp;TEXT(MONTH(A450),"00")</f>
        <v>2022-12</v>
      </c>
    </row>
    <row r="451" spans="1:6" x14ac:dyDescent="0.2">
      <c r="A451" s="2">
        <v>44921</v>
      </c>
      <c r="B451" s="1" t="s">
        <v>116</v>
      </c>
      <c r="C451" s="1" t="s">
        <v>994</v>
      </c>
      <c r="D451" s="4">
        <v>3940</v>
      </c>
      <c r="E451" t="str">
        <f t="shared" ref="E451:E514" si="15">IF(OR(C451="A302", C451="B303", C451="C301"), "Direct", "Shared")</f>
        <v>Shared</v>
      </c>
      <c r="F451" s="13" t="str">
        <f t="shared" si="14"/>
        <v>2022-12</v>
      </c>
    </row>
    <row r="452" spans="1:6" x14ac:dyDescent="0.2">
      <c r="A452" s="2">
        <v>44922</v>
      </c>
      <c r="B452" s="1" t="s">
        <v>298</v>
      </c>
      <c r="C452" s="1" t="s">
        <v>296</v>
      </c>
      <c r="D452" s="4">
        <v>1200</v>
      </c>
      <c r="E452" t="str">
        <f t="shared" si="15"/>
        <v>Direct</v>
      </c>
      <c r="F452" s="13" t="str">
        <f t="shared" si="14"/>
        <v>2022-12</v>
      </c>
    </row>
    <row r="453" spans="1:6" x14ac:dyDescent="0.2">
      <c r="A453" s="2">
        <v>44922</v>
      </c>
      <c r="B453" s="1" t="s">
        <v>9</v>
      </c>
      <c r="C453" s="1" t="s">
        <v>296</v>
      </c>
      <c r="D453" s="4">
        <v>120</v>
      </c>
      <c r="E453" t="str">
        <f t="shared" si="15"/>
        <v>Direct</v>
      </c>
      <c r="F453" s="13" t="str">
        <f t="shared" si="14"/>
        <v>2022-12</v>
      </c>
    </row>
    <row r="454" spans="1:6" x14ac:dyDescent="0.2">
      <c r="A454" s="2">
        <v>44924</v>
      </c>
      <c r="B454" s="1" t="s">
        <v>117</v>
      </c>
      <c r="C454" s="1" t="s">
        <v>994</v>
      </c>
      <c r="D454" s="4">
        <v>500</v>
      </c>
      <c r="E454" t="str">
        <f t="shared" si="15"/>
        <v>Shared</v>
      </c>
      <c r="F454" s="13" t="str">
        <f t="shared" si="14"/>
        <v>2022-12</v>
      </c>
    </row>
    <row r="455" spans="1:6" x14ac:dyDescent="0.2">
      <c r="A455" s="2">
        <v>44925</v>
      </c>
      <c r="B455" s="1" t="s">
        <v>363</v>
      </c>
      <c r="C455" s="1" t="s">
        <v>295</v>
      </c>
      <c r="D455" s="4">
        <v>800</v>
      </c>
      <c r="E455" t="str">
        <f t="shared" si="15"/>
        <v>Direct</v>
      </c>
      <c r="F455" s="13" t="str">
        <f t="shared" si="14"/>
        <v>2022-12</v>
      </c>
    </row>
    <row r="456" spans="1:6" x14ac:dyDescent="0.2">
      <c r="A456" s="2">
        <v>44925</v>
      </c>
      <c r="B456" s="1" t="s">
        <v>9</v>
      </c>
      <c r="C456" s="1" t="s">
        <v>295</v>
      </c>
      <c r="D456" s="4">
        <v>160</v>
      </c>
      <c r="E456" t="str">
        <f t="shared" si="15"/>
        <v>Direct</v>
      </c>
      <c r="F456" s="13" t="str">
        <f t="shared" si="14"/>
        <v>2022-12</v>
      </c>
    </row>
    <row r="457" spans="1:6" x14ac:dyDescent="0.2">
      <c r="A457" s="2">
        <v>44925</v>
      </c>
      <c r="B457" s="1" t="s">
        <v>373</v>
      </c>
      <c r="C457" s="1" t="s">
        <v>295</v>
      </c>
      <c r="D457" s="4">
        <v>600</v>
      </c>
      <c r="E457" t="str">
        <f t="shared" si="15"/>
        <v>Direct</v>
      </c>
      <c r="F457" s="13" t="str">
        <f t="shared" si="14"/>
        <v>2022-12</v>
      </c>
    </row>
    <row r="458" spans="1:6" x14ac:dyDescent="0.2">
      <c r="A458" s="2">
        <v>44925</v>
      </c>
      <c r="B458" s="1" t="s">
        <v>363</v>
      </c>
      <c r="C458" s="1" t="s">
        <v>297</v>
      </c>
      <c r="D458" s="4">
        <v>800</v>
      </c>
      <c r="E458" t="str">
        <f t="shared" si="15"/>
        <v>Direct</v>
      </c>
      <c r="F458" s="13" t="str">
        <f t="shared" si="14"/>
        <v>2022-12</v>
      </c>
    </row>
    <row r="459" spans="1:6" x14ac:dyDescent="0.2">
      <c r="A459" s="2">
        <v>44925</v>
      </c>
      <c r="B459" s="1" t="s">
        <v>366</v>
      </c>
      <c r="C459" s="1" t="s">
        <v>297</v>
      </c>
      <c r="D459" s="4">
        <v>140</v>
      </c>
      <c r="E459" t="str">
        <f t="shared" si="15"/>
        <v>Direct</v>
      </c>
      <c r="F459" s="13" t="str">
        <f t="shared" si="14"/>
        <v>2022-12</v>
      </c>
    </row>
    <row r="460" spans="1:6" x14ac:dyDescent="0.2">
      <c r="A460" s="2">
        <v>44928</v>
      </c>
      <c r="B460" s="1" t="s">
        <v>314</v>
      </c>
      <c r="C460" s="1" t="s">
        <v>295</v>
      </c>
      <c r="D460" s="4">
        <v>2000</v>
      </c>
      <c r="E460" t="str">
        <f t="shared" si="15"/>
        <v>Direct</v>
      </c>
      <c r="F460" s="13" t="str">
        <f t="shared" si="14"/>
        <v>2023-01</v>
      </c>
    </row>
    <row r="461" spans="1:6" x14ac:dyDescent="0.2">
      <c r="A461" s="2">
        <v>44928</v>
      </c>
      <c r="B461" s="1" t="s">
        <v>9</v>
      </c>
      <c r="C461" s="1" t="s">
        <v>295</v>
      </c>
      <c r="D461" s="4">
        <v>260</v>
      </c>
      <c r="E461" t="str">
        <f t="shared" si="15"/>
        <v>Direct</v>
      </c>
      <c r="F461" s="13" t="str">
        <f t="shared" si="14"/>
        <v>2023-01</v>
      </c>
    </row>
    <row r="462" spans="1:6" x14ac:dyDescent="0.2">
      <c r="A462" s="2">
        <v>44928</v>
      </c>
      <c r="B462" s="1" t="s">
        <v>298</v>
      </c>
      <c r="C462" s="1" t="s">
        <v>297</v>
      </c>
      <c r="D462" s="4">
        <v>1200</v>
      </c>
      <c r="E462" t="str">
        <f t="shared" si="15"/>
        <v>Direct</v>
      </c>
      <c r="F462" s="13" t="str">
        <f t="shared" si="14"/>
        <v>2023-01</v>
      </c>
    </row>
    <row r="463" spans="1:6" x14ac:dyDescent="0.2">
      <c r="A463" s="2">
        <v>44928</v>
      </c>
      <c r="B463" s="1" t="s">
        <v>9</v>
      </c>
      <c r="C463" s="1" t="s">
        <v>297</v>
      </c>
      <c r="D463" s="4">
        <v>300</v>
      </c>
      <c r="E463" t="str">
        <f t="shared" si="15"/>
        <v>Direct</v>
      </c>
      <c r="F463" s="13" t="str">
        <f t="shared" si="14"/>
        <v>2023-01</v>
      </c>
    </row>
    <row r="464" spans="1:6" x14ac:dyDescent="0.2">
      <c r="A464" s="2">
        <v>44929</v>
      </c>
      <c r="B464" s="1" t="s">
        <v>298</v>
      </c>
      <c r="C464" s="1" t="s">
        <v>296</v>
      </c>
      <c r="D464" s="4">
        <v>1200</v>
      </c>
      <c r="E464" t="str">
        <f t="shared" si="15"/>
        <v>Direct</v>
      </c>
      <c r="F464" s="13" t="str">
        <f t="shared" si="14"/>
        <v>2023-01</v>
      </c>
    </row>
    <row r="465" spans="1:6" x14ac:dyDescent="0.2">
      <c r="A465" s="2">
        <v>44929</v>
      </c>
      <c r="B465" s="1" t="s">
        <v>9</v>
      </c>
      <c r="C465" s="1" t="s">
        <v>296</v>
      </c>
      <c r="D465" s="4">
        <v>180</v>
      </c>
      <c r="E465" t="str">
        <f t="shared" si="15"/>
        <v>Direct</v>
      </c>
      <c r="F465" s="13" t="str">
        <f t="shared" si="14"/>
        <v>2023-01</v>
      </c>
    </row>
    <row r="466" spans="1:6" x14ac:dyDescent="0.2">
      <c r="A466" s="2">
        <v>44929</v>
      </c>
      <c r="B466" s="1" t="s">
        <v>399</v>
      </c>
      <c r="C466" s="1" t="s">
        <v>296</v>
      </c>
      <c r="D466" s="4">
        <v>8000</v>
      </c>
      <c r="E466" t="str">
        <f t="shared" si="15"/>
        <v>Direct</v>
      </c>
      <c r="F466" s="13" t="str">
        <f t="shared" si="14"/>
        <v>2023-01</v>
      </c>
    </row>
    <row r="467" spans="1:6" x14ac:dyDescent="0.2">
      <c r="A467" s="2">
        <v>44929</v>
      </c>
      <c r="B467" s="1" t="s">
        <v>306</v>
      </c>
      <c r="C467" s="1" t="s">
        <v>295</v>
      </c>
      <c r="D467" s="4">
        <v>800</v>
      </c>
      <c r="E467" t="str">
        <f t="shared" si="15"/>
        <v>Direct</v>
      </c>
      <c r="F467" s="13" t="str">
        <f t="shared" si="14"/>
        <v>2023-01</v>
      </c>
    </row>
    <row r="468" spans="1:6" x14ac:dyDescent="0.2">
      <c r="A468" s="2">
        <v>44929</v>
      </c>
      <c r="B468" s="1" t="s">
        <v>313</v>
      </c>
      <c r="C468" s="1" t="s">
        <v>295</v>
      </c>
      <c r="D468" s="4">
        <v>160</v>
      </c>
      <c r="E468" t="str">
        <f t="shared" si="15"/>
        <v>Direct</v>
      </c>
      <c r="F468" s="13" t="str">
        <f t="shared" si="14"/>
        <v>2023-01</v>
      </c>
    </row>
    <row r="469" spans="1:6" x14ac:dyDescent="0.2">
      <c r="A469" s="2">
        <v>44930</v>
      </c>
      <c r="B469" s="1" t="s">
        <v>118</v>
      </c>
      <c r="C469" s="1" t="s">
        <v>994</v>
      </c>
      <c r="D469" s="4">
        <v>1000</v>
      </c>
      <c r="E469" t="str">
        <f t="shared" si="15"/>
        <v>Shared</v>
      </c>
      <c r="F469" s="13" t="str">
        <f t="shared" si="14"/>
        <v>2023-01</v>
      </c>
    </row>
    <row r="470" spans="1:6" x14ac:dyDescent="0.2">
      <c r="A470" s="2">
        <v>44931</v>
      </c>
      <c r="B470" s="1" t="s">
        <v>400</v>
      </c>
      <c r="C470" s="1" t="s">
        <v>295</v>
      </c>
      <c r="D470" s="4">
        <v>200</v>
      </c>
      <c r="E470" t="str">
        <f t="shared" si="15"/>
        <v>Direct</v>
      </c>
      <c r="F470" s="13" t="str">
        <f t="shared" si="14"/>
        <v>2023-01</v>
      </c>
    </row>
    <row r="471" spans="1:6" x14ac:dyDescent="0.2">
      <c r="A471" s="2">
        <v>44932</v>
      </c>
      <c r="B471" s="1" t="s">
        <v>401</v>
      </c>
      <c r="C471" s="1" t="s">
        <v>295</v>
      </c>
      <c r="D471" s="4">
        <v>7000</v>
      </c>
      <c r="E471" t="str">
        <f t="shared" si="15"/>
        <v>Direct</v>
      </c>
      <c r="F471" s="13" t="str">
        <f t="shared" si="14"/>
        <v>2023-01</v>
      </c>
    </row>
    <row r="472" spans="1:6" x14ac:dyDescent="0.2">
      <c r="A472" s="2">
        <v>44932</v>
      </c>
      <c r="B472" s="1" t="s">
        <v>119</v>
      </c>
      <c r="C472" s="1" t="s">
        <v>994</v>
      </c>
      <c r="D472" s="4">
        <v>1200</v>
      </c>
      <c r="E472" t="str">
        <f t="shared" si="15"/>
        <v>Shared</v>
      </c>
      <c r="F472" s="13" t="str">
        <f t="shared" si="14"/>
        <v>2023-01</v>
      </c>
    </row>
    <row r="473" spans="1:6" x14ac:dyDescent="0.2">
      <c r="A473" s="2">
        <v>44933</v>
      </c>
      <c r="B473" s="1" t="s">
        <v>298</v>
      </c>
      <c r="C473" s="1" t="s">
        <v>296</v>
      </c>
      <c r="D473" s="4">
        <v>1200</v>
      </c>
      <c r="E473" t="str">
        <f t="shared" si="15"/>
        <v>Direct</v>
      </c>
      <c r="F473" s="13" t="str">
        <f t="shared" si="14"/>
        <v>2023-01</v>
      </c>
    </row>
    <row r="474" spans="1:6" x14ac:dyDescent="0.2">
      <c r="A474" s="2">
        <v>44933</v>
      </c>
      <c r="B474" s="1" t="s">
        <v>314</v>
      </c>
      <c r="C474" s="1" t="s">
        <v>295</v>
      </c>
      <c r="D474" s="4">
        <v>2000</v>
      </c>
      <c r="E474" t="str">
        <f t="shared" si="15"/>
        <v>Direct</v>
      </c>
      <c r="F474" s="13" t="str">
        <f t="shared" si="14"/>
        <v>2023-01</v>
      </c>
    </row>
    <row r="475" spans="1:6" x14ac:dyDescent="0.2">
      <c r="A475" s="2">
        <v>44933</v>
      </c>
      <c r="B475" s="1" t="s">
        <v>1029</v>
      </c>
      <c r="C475" s="1" t="s">
        <v>295</v>
      </c>
      <c r="D475" s="4">
        <v>1000</v>
      </c>
      <c r="E475" t="str">
        <f t="shared" si="15"/>
        <v>Direct</v>
      </c>
      <c r="F475" s="13" t="str">
        <f t="shared" si="14"/>
        <v>2023-01</v>
      </c>
    </row>
    <row r="476" spans="1:6" x14ac:dyDescent="0.2">
      <c r="A476" s="2">
        <v>44933</v>
      </c>
      <c r="B476" s="1" t="s">
        <v>402</v>
      </c>
      <c r="C476" s="1" t="s">
        <v>297</v>
      </c>
      <c r="D476" s="4">
        <v>400</v>
      </c>
      <c r="E476" t="str">
        <f t="shared" si="15"/>
        <v>Direct</v>
      </c>
      <c r="F476" s="13" t="str">
        <f t="shared" si="14"/>
        <v>2023-01</v>
      </c>
    </row>
    <row r="477" spans="1:6" x14ac:dyDescent="0.2">
      <c r="A477" s="2">
        <v>44933</v>
      </c>
      <c r="B477" s="1" t="s">
        <v>9</v>
      </c>
      <c r="C477" s="1" t="s">
        <v>295</v>
      </c>
      <c r="D477" s="4">
        <v>320</v>
      </c>
      <c r="E477" t="str">
        <f t="shared" si="15"/>
        <v>Direct</v>
      </c>
      <c r="F477" s="13" t="str">
        <f t="shared" si="14"/>
        <v>2023-01</v>
      </c>
    </row>
    <row r="478" spans="1:6" x14ac:dyDescent="0.2">
      <c r="A478" s="2">
        <v>44933</v>
      </c>
      <c r="B478" s="1" t="s">
        <v>384</v>
      </c>
      <c r="C478" s="1" t="s">
        <v>297</v>
      </c>
      <c r="D478" s="4">
        <v>1200</v>
      </c>
      <c r="E478" t="str">
        <f t="shared" si="15"/>
        <v>Direct</v>
      </c>
      <c r="F478" s="13" t="str">
        <f t="shared" si="14"/>
        <v>2023-01</v>
      </c>
    </row>
    <row r="479" spans="1:6" x14ac:dyDescent="0.2">
      <c r="A479" s="2">
        <v>44933</v>
      </c>
      <c r="B479" s="1" t="s">
        <v>9</v>
      </c>
      <c r="C479" s="1" t="s">
        <v>297</v>
      </c>
      <c r="D479" s="4">
        <v>300</v>
      </c>
      <c r="E479" t="str">
        <f t="shared" si="15"/>
        <v>Direct</v>
      </c>
      <c r="F479" s="13" t="str">
        <f t="shared" si="14"/>
        <v>2023-01</v>
      </c>
    </row>
    <row r="480" spans="1:6" x14ac:dyDescent="0.2">
      <c r="A480" s="2">
        <v>44933</v>
      </c>
      <c r="B480" s="1" t="s">
        <v>9</v>
      </c>
      <c r="C480" s="1" t="s">
        <v>994</v>
      </c>
      <c r="D480" s="4">
        <v>360</v>
      </c>
      <c r="E480" t="str">
        <f t="shared" si="15"/>
        <v>Shared</v>
      </c>
      <c r="F480" s="13" t="str">
        <f t="shared" si="14"/>
        <v>2023-01</v>
      </c>
    </row>
    <row r="481" spans="1:6" x14ac:dyDescent="0.2">
      <c r="A481" s="2">
        <v>44934</v>
      </c>
      <c r="B481" s="1" t="s">
        <v>9</v>
      </c>
      <c r="C481" s="1" t="s">
        <v>296</v>
      </c>
      <c r="D481" s="4">
        <v>220</v>
      </c>
      <c r="E481" t="str">
        <f t="shared" si="15"/>
        <v>Direct</v>
      </c>
      <c r="F481" s="13" t="str">
        <f t="shared" si="14"/>
        <v>2023-01</v>
      </c>
    </row>
    <row r="482" spans="1:6" x14ac:dyDescent="0.2">
      <c r="A482" s="2">
        <v>44935</v>
      </c>
      <c r="B482" s="1" t="s">
        <v>120</v>
      </c>
      <c r="C482" s="1" t="s">
        <v>994</v>
      </c>
      <c r="D482" s="4">
        <v>300</v>
      </c>
      <c r="E482" t="str">
        <f t="shared" si="15"/>
        <v>Shared</v>
      </c>
      <c r="F482" s="13" t="str">
        <f t="shared" si="14"/>
        <v>2023-01</v>
      </c>
    </row>
    <row r="483" spans="1:6" x14ac:dyDescent="0.2">
      <c r="A483" s="2">
        <v>44935</v>
      </c>
      <c r="B483" s="1" t="s">
        <v>403</v>
      </c>
      <c r="C483" s="1" t="s">
        <v>297</v>
      </c>
      <c r="D483" s="4">
        <v>150</v>
      </c>
      <c r="E483" t="str">
        <f t="shared" si="15"/>
        <v>Direct</v>
      </c>
      <c r="F483" s="13" t="str">
        <f t="shared" si="14"/>
        <v>2023-01</v>
      </c>
    </row>
    <row r="484" spans="1:6" x14ac:dyDescent="0.2">
      <c r="A484" s="2">
        <v>44936</v>
      </c>
      <c r="B484" s="1" t="s">
        <v>314</v>
      </c>
      <c r="C484" s="1" t="s">
        <v>295</v>
      </c>
      <c r="D484" s="4">
        <v>2000</v>
      </c>
      <c r="E484" t="str">
        <f t="shared" si="15"/>
        <v>Direct</v>
      </c>
      <c r="F484" s="13" t="str">
        <f t="shared" si="14"/>
        <v>2023-01</v>
      </c>
    </row>
    <row r="485" spans="1:6" x14ac:dyDescent="0.2">
      <c r="A485" s="2">
        <v>44936</v>
      </c>
      <c r="B485" s="1" t="s">
        <v>315</v>
      </c>
      <c r="C485" s="1" t="s">
        <v>295</v>
      </c>
      <c r="D485" s="4">
        <v>300</v>
      </c>
      <c r="E485" t="str">
        <f t="shared" si="15"/>
        <v>Direct</v>
      </c>
      <c r="F485" s="13" t="str">
        <f t="shared" si="14"/>
        <v>2023-01</v>
      </c>
    </row>
    <row r="486" spans="1:6" x14ac:dyDescent="0.2">
      <c r="A486" s="2">
        <v>44936</v>
      </c>
      <c r="B486" s="1" t="s">
        <v>405</v>
      </c>
      <c r="C486" s="1" t="s">
        <v>295</v>
      </c>
      <c r="D486" s="4">
        <v>400</v>
      </c>
      <c r="E486" t="str">
        <f t="shared" si="15"/>
        <v>Direct</v>
      </c>
      <c r="F486" s="13" t="str">
        <f t="shared" si="14"/>
        <v>2023-01</v>
      </c>
    </row>
    <row r="487" spans="1:6" x14ac:dyDescent="0.2">
      <c r="A487" s="2">
        <v>44937</v>
      </c>
      <c r="B487" s="1" t="s">
        <v>373</v>
      </c>
      <c r="C487" s="1" t="s">
        <v>297</v>
      </c>
      <c r="D487" s="4">
        <v>500</v>
      </c>
      <c r="E487" t="str">
        <f t="shared" si="15"/>
        <v>Direct</v>
      </c>
      <c r="F487" s="13" t="str">
        <f t="shared" si="14"/>
        <v>2023-01</v>
      </c>
    </row>
    <row r="488" spans="1:6" x14ac:dyDescent="0.2">
      <c r="A488" s="2">
        <v>44937</v>
      </c>
      <c r="B488" s="1" t="s">
        <v>9</v>
      </c>
      <c r="C488" s="1" t="s">
        <v>297</v>
      </c>
      <c r="D488" s="4">
        <v>180</v>
      </c>
      <c r="E488" t="str">
        <f t="shared" si="15"/>
        <v>Direct</v>
      </c>
      <c r="F488" s="13" t="str">
        <f t="shared" si="14"/>
        <v>2023-01</v>
      </c>
    </row>
    <row r="489" spans="1:6" x14ac:dyDescent="0.2">
      <c r="A489" s="2">
        <v>44937</v>
      </c>
      <c r="B489" s="1" t="s">
        <v>406</v>
      </c>
      <c r="C489" s="1" t="s">
        <v>297</v>
      </c>
      <c r="D489" s="4">
        <v>300</v>
      </c>
      <c r="E489" t="str">
        <f t="shared" si="15"/>
        <v>Direct</v>
      </c>
      <c r="F489" s="13" t="str">
        <f t="shared" si="14"/>
        <v>2023-01</v>
      </c>
    </row>
    <row r="490" spans="1:6" x14ac:dyDescent="0.2">
      <c r="A490" s="2">
        <v>44938</v>
      </c>
      <c r="B490" s="1" t="s">
        <v>298</v>
      </c>
      <c r="C490" s="1" t="s">
        <v>296</v>
      </c>
      <c r="D490" s="4">
        <v>1200</v>
      </c>
      <c r="E490" t="str">
        <f t="shared" si="15"/>
        <v>Direct</v>
      </c>
      <c r="F490" s="13" t="str">
        <f t="shared" si="14"/>
        <v>2023-01</v>
      </c>
    </row>
    <row r="491" spans="1:6" x14ac:dyDescent="0.2">
      <c r="A491" s="2">
        <v>44938</v>
      </c>
      <c r="B491" s="1" t="s">
        <v>404</v>
      </c>
      <c r="C491" s="1" t="s">
        <v>295</v>
      </c>
      <c r="D491" s="4">
        <v>4650</v>
      </c>
      <c r="E491" t="str">
        <f t="shared" si="15"/>
        <v>Direct</v>
      </c>
      <c r="F491" s="13" t="str">
        <f t="shared" si="14"/>
        <v>2023-01</v>
      </c>
    </row>
    <row r="492" spans="1:6" x14ac:dyDescent="0.2">
      <c r="A492" s="2">
        <v>44938</v>
      </c>
      <c r="B492" s="1" t="s">
        <v>9</v>
      </c>
      <c r="C492" s="1" t="s">
        <v>296</v>
      </c>
      <c r="D492" s="4">
        <v>120</v>
      </c>
      <c r="E492" t="str">
        <f t="shared" si="15"/>
        <v>Direct</v>
      </c>
      <c r="F492" s="13" t="str">
        <f t="shared" si="14"/>
        <v>2023-01</v>
      </c>
    </row>
    <row r="493" spans="1:6" x14ac:dyDescent="0.2">
      <c r="A493" s="2">
        <v>44938</v>
      </c>
      <c r="B493" s="1" t="s">
        <v>407</v>
      </c>
      <c r="C493" s="1" t="s">
        <v>297</v>
      </c>
      <c r="D493" s="4">
        <v>8000</v>
      </c>
      <c r="E493" t="str">
        <f t="shared" si="15"/>
        <v>Direct</v>
      </c>
      <c r="F493" s="13" t="str">
        <f t="shared" si="14"/>
        <v>2023-01</v>
      </c>
    </row>
    <row r="494" spans="1:6" x14ac:dyDescent="0.2">
      <c r="A494" s="2">
        <v>44938</v>
      </c>
      <c r="B494" s="1" t="s">
        <v>1030</v>
      </c>
      <c r="C494" s="1" t="s">
        <v>297</v>
      </c>
      <c r="D494" s="4">
        <v>700</v>
      </c>
      <c r="E494" t="str">
        <f t="shared" si="15"/>
        <v>Direct</v>
      </c>
      <c r="F494" s="13" t="str">
        <f t="shared" si="14"/>
        <v>2023-01</v>
      </c>
    </row>
    <row r="495" spans="1:6" x14ac:dyDescent="0.2">
      <c r="A495" s="2">
        <v>44940</v>
      </c>
      <c r="B495" s="1" t="s">
        <v>384</v>
      </c>
      <c r="C495" s="1" t="s">
        <v>297</v>
      </c>
      <c r="D495" s="4">
        <v>1200</v>
      </c>
      <c r="E495" t="str">
        <f t="shared" si="15"/>
        <v>Direct</v>
      </c>
      <c r="F495" s="13" t="str">
        <f t="shared" si="14"/>
        <v>2023-01</v>
      </c>
    </row>
    <row r="496" spans="1:6" x14ac:dyDescent="0.2">
      <c r="A496" s="2">
        <v>44940</v>
      </c>
      <c r="B496" s="1" t="s">
        <v>385</v>
      </c>
      <c r="C496" s="1" t="s">
        <v>297</v>
      </c>
      <c r="D496" s="4">
        <v>260</v>
      </c>
      <c r="E496" t="str">
        <f t="shared" si="15"/>
        <v>Direct</v>
      </c>
      <c r="F496" s="13" t="str">
        <f t="shared" si="14"/>
        <v>2023-01</v>
      </c>
    </row>
    <row r="497" spans="1:6" x14ac:dyDescent="0.2">
      <c r="A497" s="2">
        <v>44941</v>
      </c>
      <c r="B497" s="1" t="s">
        <v>306</v>
      </c>
      <c r="C497" s="1" t="s">
        <v>295</v>
      </c>
      <c r="D497" s="4">
        <v>800</v>
      </c>
      <c r="E497" t="str">
        <f t="shared" si="15"/>
        <v>Direct</v>
      </c>
      <c r="F497" s="13" t="str">
        <f t="shared" si="14"/>
        <v>2023-01</v>
      </c>
    </row>
    <row r="498" spans="1:6" x14ac:dyDescent="0.2">
      <c r="A498" s="2">
        <v>44942</v>
      </c>
      <c r="B498" s="1" t="s">
        <v>313</v>
      </c>
      <c r="C498" s="1" t="s">
        <v>295</v>
      </c>
      <c r="D498" s="4">
        <v>200</v>
      </c>
      <c r="E498" t="str">
        <f t="shared" si="15"/>
        <v>Direct</v>
      </c>
      <c r="F498" s="13" t="str">
        <f t="shared" si="14"/>
        <v>2023-01</v>
      </c>
    </row>
    <row r="499" spans="1:6" x14ac:dyDescent="0.2">
      <c r="A499" s="2">
        <v>44943</v>
      </c>
      <c r="B499" s="1" t="s">
        <v>121</v>
      </c>
      <c r="C499" s="1" t="s">
        <v>994</v>
      </c>
      <c r="D499" s="4">
        <v>3000</v>
      </c>
      <c r="E499" t="str">
        <f t="shared" si="15"/>
        <v>Shared</v>
      </c>
      <c r="F499" s="13" t="str">
        <f t="shared" si="14"/>
        <v>2023-01</v>
      </c>
    </row>
    <row r="500" spans="1:6" x14ac:dyDescent="0.2">
      <c r="A500" s="2">
        <v>44944</v>
      </c>
      <c r="B500" s="1" t="s">
        <v>298</v>
      </c>
      <c r="C500" s="1" t="s">
        <v>296</v>
      </c>
      <c r="D500" s="4">
        <v>1200</v>
      </c>
      <c r="E500" t="str">
        <f t="shared" si="15"/>
        <v>Direct</v>
      </c>
      <c r="F500" s="13" t="str">
        <f t="shared" si="14"/>
        <v>2023-01</v>
      </c>
    </row>
    <row r="501" spans="1:6" x14ac:dyDescent="0.2">
      <c r="A501" s="2">
        <v>44944</v>
      </c>
      <c r="B501" s="1" t="s">
        <v>5</v>
      </c>
      <c r="C501" s="1" t="s">
        <v>994</v>
      </c>
      <c r="D501" s="4">
        <v>1700</v>
      </c>
      <c r="E501" t="str">
        <f t="shared" si="15"/>
        <v>Shared</v>
      </c>
      <c r="F501" s="13" t="str">
        <f t="shared" si="14"/>
        <v>2023-01</v>
      </c>
    </row>
    <row r="502" spans="1:6" x14ac:dyDescent="0.2">
      <c r="A502" s="2">
        <v>44946</v>
      </c>
      <c r="B502" s="1" t="s">
        <v>72</v>
      </c>
      <c r="C502" s="1" t="s">
        <v>994</v>
      </c>
      <c r="D502" s="4">
        <v>200</v>
      </c>
      <c r="E502" t="str">
        <f t="shared" si="15"/>
        <v>Shared</v>
      </c>
      <c r="F502" s="13" t="str">
        <f t="shared" si="14"/>
        <v>2023-01</v>
      </c>
    </row>
    <row r="503" spans="1:6" x14ac:dyDescent="0.2">
      <c r="A503" s="2">
        <v>44946</v>
      </c>
      <c r="B503" s="1" t="s">
        <v>363</v>
      </c>
      <c r="C503" s="1" t="s">
        <v>297</v>
      </c>
      <c r="D503" s="4">
        <v>800</v>
      </c>
      <c r="E503" t="str">
        <f t="shared" si="15"/>
        <v>Direct</v>
      </c>
      <c r="F503" s="13" t="str">
        <f t="shared" si="14"/>
        <v>2023-01</v>
      </c>
    </row>
    <row r="504" spans="1:6" x14ac:dyDescent="0.2">
      <c r="A504" s="2">
        <v>44946</v>
      </c>
      <c r="B504" s="1" t="s">
        <v>408</v>
      </c>
      <c r="C504" s="1" t="s">
        <v>295</v>
      </c>
      <c r="D504" s="4">
        <v>400</v>
      </c>
      <c r="E504" t="str">
        <f t="shared" si="15"/>
        <v>Direct</v>
      </c>
      <c r="F504" s="13" t="str">
        <f t="shared" si="14"/>
        <v>2023-01</v>
      </c>
    </row>
    <row r="505" spans="1:6" x14ac:dyDescent="0.2">
      <c r="A505" s="2">
        <v>44946</v>
      </c>
      <c r="B505" s="1" t="s">
        <v>366</v>
      </c>
      <c r="C505" s="1" t="s">
        <v>297</v>
      </c>
      <c r="D505" s="4">
        <v>200</v>
      </c>
      <c r="E505" t="str">
        <f t="shared" si="15"/>
        <v>Direct</v>
      </c>
      <c r="F505" s="13" t="str">
        <f t="shared" si="14"/>
        <v>2023-01</v>
      </c>
    </row>
    <row r="506" spans="1:6" x14ac:dyDescent="0.2">
      <c r="A506" s="2">
        <v>44946</v>
      </c>
      <c r="B506" s="1" t="s">
        <v>122</v>
      </c>
      <c r="C506" s="1" t="s">
        <v>994</v>
      </c>
      <c r="D506" s="4">
        <v>320</v>
      </c>
      <c r="E506" t="str">
        <f t="shared" si="15"/>
        <v>Shared</v>
      </c>
      <c r="F506" s="13" t="str">
        <f t="shared" si="14"/>
        <v>2023-01</v>
      </c>
    </row>
    <row r="507" spans="1:6" x14ac:dyDescent="0.2">
      <c r="A507" s="2">
        <v>44948</v>
      </c>
      <c r="B507" s="1" t="s">
        <v>123</v>
      </c>
      <c r="C507" s="1" t="s">
        <v>994</v>
      </c>
      <c r="D507" s="4">
        <v>2600</v>
      </c>
      <c r="E507" t="str">
        <f t="shared" si="15"/>
        <v>Shared</v>
      </c>
      <c r="F507" s="13" t="str">
        <f t="shared" si="14"/>
        <v>2023-01</v>
      </c>
    </row>
    <row r="508" spans="1:6" x14ac:dyDescent="0.2">
      <c r="A508" s="2">
        <v>44949</v>
      </c>
      <c r="B508" s="1" t="s">
        <v>409</v>
      </c>
      <c r="C508" s="1" t="s">
        <v>297</v>
      </c>
      <c r="D508" s="4">
        <v>240</v>
      </c>
      <c r="E508" t="str">
        <f t="shared" si="15"/>
        <v>Direct</v>
      </c>
      <c r="F508" s="13" t="str">
        <f t="shared" si="14"/>
        <v>2023-01</v>
      </c>
    </row>
    <row r="509" spans="1:6" x14ac:dyDescent="0.2">
      <c r="A509" s="2">
        <v>44951</v>
      </c>
      <c r="B509" s="1" t="s">
        <v>298</v>
      </c>
      <c r="C509" s="1" t="s">
        <v>296</v>
      </c>
      <c r="D509" s="4">
        <v>1200</v>
      </c>
      <c r="E509" t="str">
        <f t="shared" si="15"/>
        <v>Direct</v>
      </c>
      <c r="F509" s="13" t="str">
        <f t="shared" si="14"/>
        <v>2023-01</v>
      </c>
    </row>
    <row r="510" spans="1:6" x14ac:dyDescent="0.2">
      <c r="A510" s="2">
        <v>44951</v>
      </c>
      <c r="B510" s="1" t="s">
        <v>9</v>
      </c>
      <c r="C510" s="1" t="s">
        <v>296</v>
      </c>
      <c r="D510" s="4">
        <v>150</v>
      </c>
      <c r="E510" t="str">
        <f t="shared" si="15"/>
        <v>Direct</v>
      </c>
      <c r="F510" s="13" t="str">
        <f t="shared" si="14"/>
        <v>2023-01</v>
      </c>
    </row>
    <row r="511" spans="1:6" x14ac:dyDescent="0.2">
      <c r="A511" s="2">
        <v>44952</v>
      </c>
      <c r="B511" s="1" t="s">
        <v>298</v>
      </c>
      <c r="C511" s="1" t="s">
        <v>297</v>
      </c>
      <c r="D511" s="4">
        <v>1200</v>
      </c>
      <c r="E511" t="str">
        <f t="shared" si="15"/>
        <v>Direct</v>
      </c>
      <c r="F511" s="13" t="str">
        <f t="shared" si="14"/>
        <v>2023-01</v>
      </c>
    </row>
    <row r="512" spans="1:6" x14ac:dyDescent="0.2">
      <c r="A512" s="2">
        <v>44952</v>
      </c>
      <c r="B512" s="1" t="s">
        <v>9</v>
      </c>
      <c r="C512" s="1" t="s">
        <v>297</v>
      </c>
      <c r="D512" s="4">
        <v>160</v>
      </c>
      <c r="E512" t="str">
        <f t="shared" si="15"/>
        <v>Direct</v>
      </c>
      <c r="F512" s="13" t="str">
        <f t="shared" si="14"/>
        <v>2023-01</v>
      </c>
    </row>
    <row r="513" spans="1:6" x14ac:dyDescent="0.2">
      <c r="A513" s="2">
        <v>44952</v>
      </c>
      <c r="B513" s="1" t="s">
        <v>124</v>
      </c>
      <c r="C513" s="1" t="s">
        <v>994</v>
      </c>
      <c r="D513" s="4">
        <v>590</v>
      </c>
      <c r="E513" t="str">
        <f t="shared" si="15"/>
        <v>Shared</v>
      </c>
      <c r="F513" s="13" t="str">
        <f t="shared" si="14"/>
        <v>2023-01</v>
      </c>
    </row>
    <row r="514" spans="1:6" x14ac:dyDescent="0.2">
      <c r="A514" s="2">
        <v>44956</v>
      </c>
      <c r="B514" s="1" t="s">
        <v>314</v>
      </c>
      <c r="C514" s="1" t="s">
        <v>295</v>
      </c>
      <c r="D514" s="4">
        <v>2000</v>
      </c>
      <c r="E514" t="str">
        <f t="shared" si="15"/>
        <v>Direct</v>
      </c>
      <c r="F514" s="13" t="str">
        <f t="shared" ref="F514:F577" si="16">YEAR(A514)&amp;"-"&amp;TEXT(MONTH(A514),"00")</f>
        <v>2023-01</v>
      </c>
    </row>
    <row r="515" spans="1:6" x14ac:dyDescent="0.2">
      <c r="A515" s="2">
        <v>44956</v>
      </c>
      <c r="B515" s="1" t="s">
        <v>72</v>
      </c>
      <c r="C515" s="1" t="s">
        <v>994</v>
      </c>
      <c r="D515" s="4">
        <v>200</v>
      </c>
      <c r="E515" t="str">
        <f t="shared" ref="E515:E578" si="17">IF(OR(C515="A302", C515="B303", C515="C301"), "Direct", "Shared")</f>
        <v>Shared</v>
      </c>
      <c r="F515" s="13" t="str">
        <f t="shared" si="16"/>
        <v>2023-01</v>
      </c>
    </row>
    <row r="516" spans="1:6" x14ac:dyDescent="0.2">
      <c r="A516" s="2">
        <v>44956</v>
      </c>
      <c r="B516" s="1" t="s">
        <v>125</v>
      </c>
      <c r="C516" s="1" t="s">
        <v>994</v>
      </c>
      <c r="D516" s="4">
        <v>200</v>
      </c>
      <c r="E516" t="str">
        <f t="shared" si="17"/>
        <v>Shared</v>
      </c>
      <c r="F516" s="13" t="str">
        <f t="shared" si="16"/>
        <v>2023-01</v>
      </c>
    </row>
    <row r="517" spans="1:6" x14ac:dyDescent="0.2">
      <c r="A517" s="2">
        <v>44956</v>
      </c>
      <c r="B517" s="1" t="s">
        <v>315</v>
      </c>
      <c r="C517" s="1" t="s">
        <v>295</v>
      </c>
      <c r="D517" s="4">
        <v>300</v>
      </c>
      <c r="E517" t="str">
        <f t="shared" si="17"/>
        <v>Direct</v>
      </c>
      <c r="F517" s="13" t="str">
        <f t="shared" si="16"/>
        <v>2023-01</v>
      </c>
    </row>
    <row r="518" spans="1:6" x14ac:dyDescent="0.2">
      <c r="A518" s="2">
        <v>44956</v>
      </c>
      <c r="B518" s="1" t="s">
        <v>1031</v>
      </c>
      <c r="C518" s="1" t="s">
        <v>297</v>
      </c>
      <c r="D518" s="4">
        <v>100</v>
      </c>
      <c r="E518" t="str">
        <f t="shared" si="17"/>
        <v>Direct</v>
      </c>
      <c r="F518" s="13" t="str">
        <f t="shared" si="16"/>
        <v>2023-01</v>
      </c>
    </row>
    <row r="519" spans="1:6" x14ac:dyDescent="0.2">
      <c r="A519" s="2">
        <v>44958</v>
      </c>
      <c r="B519" s="1" t="s">
        <v>9</v>
      </c>
      <c r="C519" s="1" t="s">
        <v>297</v>
      </c>
      <c r="D519" s="4">
        <v>150</v>
      </c>
      <c r="E519" t="str">
        <f t="shared" si="17"/>
        <v>Direct</v>
      </c>
      <c r="F519" s="13" t="str">
        <f t="shared" si="16"/>
        <v>2023-02</v>
      </c>
    </row>
    <row r="520" spans="1:6" x14ac:dyDescent="0.2">
      <c r="A520" s="2">
        <v>44963</v>
      </c>
      <c r="B520" s="1" t="s">
        <v>298</v>
      </c>
      <c r="C520" s="1" t="s">
        <v>296</v>
      </c>
      <c r="D520" s="4">
        <v>1200</v>
      </c>
      <c r="E520" t="str">
        <f t="shared" si="17"/>
        <v>Direct</v>
      </c>
      <c r="F520" s="13" t="str">
        <f t="shared" si="16"/>
        <v>2023-02</v>
      </c>
    </row>
    <row r="521" spans="1:6" x14ac:dyDescent="0.2">
      <c r="A521" s="2">
        <v>44963</v>
      </c>
      <c r="B521" s="1" t="s">
        <v>9</v>
      </c>
      <c r="C521" s="1" t="s">
        <v>296</v>
      </c>
      <c r="D521" s="4">
        <v>130</v>
      </c>
      <c r="E521" t="str">
        <f t="shared" si="17"/>
        <v>Direct</v>
      </c>
      <c r="F521" s="13" t="str">
        <f t="shared" si="16"/>
        <v>2023-02</v>
      </c>
    </row>
    <row r="522" spans="1:6" x14ac:dyDescent="0.2">
      <c r="A522" s="2">
        <v>44964</v>
      </c>
      <c r="B522" s="1" t="s">
        <v>9</v>
      </c>
      <c r="C522" s="1" t="s">
        <v>297</v>
      </c>
      <c r="D522" s="4">
        <v>204</v>
      </c>
      <c r="E522" t="str">
        <f t="shared" si="17"/>
        <v>Direct</v>
      </c>
      <c r="F522" s="13" t="str">
        <f t="shared" si="16"/>
        <v>2023-02</v>
      </c>
    </row>
    <row r="523" spans="1:6" x14ac:dyDescent="0.2">
      <c r="A523" s="2">
        <v>44964</v>
      </c>
      <c r="B523" s="1" t="s">
        <v>298</v>
      </c>
      <c r="C523" s="1" t="s">
        <v>297</v>
      </c>
      <c r="D523" s="4">
        <v>1200</v>
      </c>
      <c r="E523" t="str">
        <f t="shared" si="17"/>
        <v>Direct</v>
      </c>
      <c r="F523" s="13" t="str">
        <f t="shared" si="16"/>
        <v>2023-02</v>
      </c>
    </row>
    <row r="524" spans="1:6" x14ac:dyDescent="0.2">
      <c r="A524" s="2">
        <v>44965</v>
      </c>
      <c r="B524" s="1" t="s">
        <v>126</v>
      </c>
      <c r="C524" s="1" t="s">
        <v>994</v>
      </c>
      <c r="D524" s="4">
        <v>3000</v>
      </c>
      <c r="E524" t="str">
        <f t="shared" si="17"/>
        <v>Shared</v>
      </c>
      <c r="F524" s="13" t="str">
        <f t="shared" si="16"/>
        <v>2023-02</v>
      </c>
    </row>
    <row r="525" spans="1:6" x14ac:dyDescent="0.2">
      <c r="A525" s="2">
        <v>44966</v>
      </c>
      <c r="B525" s="1" t="s">
        <v>127</v>
      </c>
      <c r="C525" s="1" t="s">
        <v>994</v>
      </c>
      <c r="D525" s="4">
        <v>300</v>
      </c>
      <c r="E525" t="str">
        <f t="shared" si="17"/>
        <v>Shared</v>
      </c>
      <c r="F525" s="13" t="str">
        <f t="shared" si="16"/>
        <v>2023-02</v>
      </c>
    </row>
    <row r="526" spans="1:6" x14ac:dyDescent="0.2">
      <c r="A526" s="2">
        <v>44967</v>
      </c>
      <c r="B526" s="1" t="s">
        <v>298</v>
      </c>
      <c r="C526" s="1" t="s">
        <v>296</v>
      </c>
      <c r="D526" s="4">
        <v>1200</v>
      </c>
      <c r="E526" t="str">
        <f t="shared" si="17"/>
        <v>Direct</v>
      </c>
      <c r="F526" s="13" t="str">
        <f t="shared" si="16"/>
        <v>2023-02</v>
      </c>
    </row>
    <row r="527" spans="1:6" x14ac:dyDescent="0.2">
      <c r="A527" s="2">
        <v>44967</v>
      </c>
      <c r="B527" s="1" t="s">
        <v>9</v>
      </c>
      <c r="C527" s="1" t="s">
        <v>296</v>
      </c>
      <c r="D527" s="4">
        <v>300</v>
      </c>
      <c r="E527" t="str">
        <f t="shared" si="17"/>
        <v>Direct</v>
      </c>
      <c r="F527" s="13" t="str">
        <f t="shared" si="16"/>
        <v>2023-02</v>
      </c>
    </row>
    <row r="528" spans="1:6" x14ac:dyDescent="0.2">
      <c r="A528" s="2">
        <v>44967</v>
      </c>
      <c r="B528" s="1" t="s">
        <v>34</v>
      </c>
      <c r="C528" s="1" t="s">
        <v>994</v>
      </c>
      <c r="D528" s="4">
        <v>250</v>
      </c>
      <c r="E528" t="str">
        <f t="shared" si="17"/>
        <v>Shared</v>
      </c>
      <c r="F528" s="13" t="str">
        <f t="shared" si="16"/>
        <v>2023-02</v>
      </c>
    </row>
    <row r="529" spans="1:6" x14ac:dyDescent="0.2">
      <c r="A529" s="2">
        <v>44967</v>
      </c>
      <c r="B529" s="1" t="s">
        <v>315</v>
      </c>
      <c r="C529" s="1" t="s">
        <v>295</v>
      </c>
      <c r="D529" s="4">
        <v>200</v>
      </c>
      <c r="E529" t="str">
        <f t="shared" si="17"/>
        <v>Direct</v>
      </c>
      <c r="F529" s="13" t="str">
        <f t="shared" si="16"/>
        <v>2023-02</v>
      </c>
    </row>
    <row r="530" spans="1:6" x14ac:dyDescent="0.2">
      <c r="A530" s="2">
        <v>44967</v>
      </c>
      <c r="B530" s="1" t="s">
        <v>1032</v>
      </c>
      <c r="C530" s="1" t="s">
        <v>994</v>
      </c>
      <c r="D530" s="4">
        <v>600</v>
      </c>
      <c r="E530" t="str">
        <f t="shared" si="17"/>
        <v>Shared</v>
      </c>
      <c r="F530" s="13" t="str">
        <f t="shared" si="16"/>
        <v>2023-02</v>
      </c>
    </row>
    <row r="531" spans="1:6" x14ac:dyDescent="0.2">
      <c r="A531" s="2">
        <v>44967</v>
      </c>
      <c r="B531" s="1" t="s">
        <v>128</v>
      </c>
      <c r="C531" s="1" t="s">
        <v>994</v>
      </c>
      <c r="D531" s="4">
        <v>310</v>
      </c>
      <c r="E531" t="str">
        <f t="shared" si="17"/>
        <v>Shared</v>
      </c>
      <c r="F531" s="13" t="str">
        <f t="shared" si="16"/>
        <v>2023-02</v>
      </c>
    </row>
    <row r="532" spans="1:6" x14ac:dyDescent="0.2">
      <c r="A532" s="2">
        <v>44967</v>
      </c>
      <c r="B532" s="1" t="s">
        <v>1033</v>
      </c>
      <c r="C532" s="1" t="s">
        <v>296</v>
      </c>
      <c r="D532" s="4">
        <v>200</v>
      </c>
      <c r="E532" t="str">
        <f t="shared" si="17"/>
        <v>Direct</v>
      </c>
      <c r="F532" s="13" t="str">
        <f t="shared" si="16"/>
        <v>2023-02</v>
      </c>
    </row>
    <row r="533" spans="1:6" x14ac:dyDescent="0.2">
      <c r="A533" s="2">
        <v>44967</v>
      </c>
      <c r="B533" s="1" t="s">
        <v>410</v>
      </c>
      <c r="C533" s="1" t="s">
        <v>297</v>
      </c>
      <c r="D533" s="4">
        <v>200</v>
      </c>
      <c r="E533" t="str">
        <f t="shared" si="17"/>
        <v>Direct</v>
      </c>
      <c r="F533" s="13" t="str">
        <f t="shared" si="16"/>
        <v>2023-02</v>
      </c>
    </row>
    <row r="534" spans="1:6" x14ac:dyDescent="0.2">
      <c r="A534" s="2">
        <v>44967</v>
      </c>
      <c r="B534" s="1" t="s">
        <v>411</v>
      </c>
      <c r="C534" s="1" t="s">
        <v>296</v>
      </c>
      <c r="D534" s="4">
        <v>650</v>
      </c>
      <c r="E534" t="str">
        <f t="shared" si="17"/>
        <v>Direct</v>
      </c>
      <c r="F534" s="13" t="str">
        <f t="shared" si="16"/>
        <v>2023-02</v>
      </c>
    </row>
    <row r="535" spans="1:6" x14ac:dyDescent="0.2">
      <c r="A535" s="2">
        <v>44968</v>
      </c>
      <c r="B535" s="1" t="s">
        <v>350</v>
      </c>
      <c r="C535" s="1" t="s">
        <v>297</v>
      </c>
      <c r="D535" s="4">
        <v>2000</v>
      </c>
      <c r="E535" t="str">
        <f t="shared" si="17"/>
        <v>Direct</v>
      </c>
      <c r="F535" s="13" t="str">
        <f t="shared" si="16"/>
        <v>2023-02</v>
      </c>
    </row>
    <row r="536" spans="1:6" x14ac:dyDescent="0.2">
      <c r="A536" s="2">
        <v>44968</v>
      </c>
      <c r="B536" s="1" t="s">
        <v>9</v>
      </c>
      <c r="C536" s="1" t="s">
        <v>297</v>
      </c>
      <c r="D536" s="4">
        <v>310</v>
      </c>
      <c r="E536" t="str">
        <f t="shared" si="17"/>
        <v>Direct</v>
      </c>
      <c r="F536" s="13" t="str">
        <f t="shared" si="16"/>
        <v>2023-02</v>
      </c>
    </row>
    <row r="537" spans="1:6" x14ac:dyDescent="0.2">
      <c r="A537" s="2">
        <v>44968</v>
      </c>
      <c r="B537" s="1" t="s">
        <v>129</v>
      </c>
      <c r="C537" s="1" t="s">
        <v>295</v>
      </c>
      <c r="D537" s="4">
        <v>200</v>
      </c>
      <c r="E537" t="str">
        <f t="shared" si="17"/>
        <v>Direct</v>
      </c>
      <c r="F537" s="13" t="str">
        <f t="shared" si="16"/>
        <v>2023-02</v>
      </c>
    </row>
    <row r="538" spans="1:6" x14ac:dyDescent="0.2">
      <c r="A538" s="2">
        <v>44969</v>
      </c>
      <c r="B538" s="1" t="s">
        <v>314</v>
      </c>
      <c r="C538" s="1" t="s">
        <v>295</v>
      </c>
      <c r="D538" s="4">
        <v>2000</v>
      </c>
      <c r="E538" t="str">
        <f t="shared" si="17"/>
        <v>Direct</v>
      </c>
      <c r="F538" s="13" t="str">
        <f t="shared" si="16"/>
        <v>2023-02</v>
      </c>
    </row>
    <row r="539" spans="1:6" x14ac:dyDescent="0.2">
      <c r="A539" s="2">
        <v>44969</v>
      </c>
      <c r="B539" s="1" t="s">
        <v>130</v>
      </c>
      <c r="C539" s="1" t="s">
        <v>994</v>
      </c>
      <c r="D539" s="4">
        <v>1200</v>
      </c>
      <c r="E539" t="str">
        <f t="shared" si="17"/>
        <v>Shared</v>
      </c>
      <c r="F539" s="13" t="str">
        <f t="shared" si="16"/>
        <v>2023-02</v>
      </c>
    </row>
    <row r="540" spans="1:6" x14ac:dyDescent="0.2">
      <c r="A540" s="2">
        <v>44969</v>
      </c>
      <c r="B540" s="1" t="s">
        <v>131</v>
      </c>
      <c r="C540" s="1" t="s">
        <v>994</v>
      </c>
      <c r="D540" s="4">
        <v>1200</v>
      </c>
      <c r="E540" t="str">
        <f t="shared" si="17"/>
        <v>Shared</v>
      </c>
      <c r="F540" s="13" t="str">
        <f t="shared" si="16"/>
        <v>2023-02</v>
      </c>
    </row>
    <row r="541" spans="1:6" x14ac:dyDescent="0.2">
      <c r="A541" s="2">
        <v>44970</v>
      </c>
      <c r="B541" s="1" t="s">
        <v>132</v>
      </c>
      <c r="C541" s="1" t="s">
        <v>994</v>
      </c>
      <c r="D541" s="4">
        <v>700</v>
      </c>
      <c r="E541" t="str">
        <f t="shared" si="17"/>
        <v>Shared</v>
      </c>
      <c r="F541" s="13" t="str">
        <f t="shared" si="16"/>
        <v>2023-02</v>
      </c>
    </row>
    <row r="542" spans="1:6" x14ac:dyDescent="0.2">
      <c r="A542" s="2">
        <v>44970</v>
      </c>
      <c r="B542" s="1" t="s">
        <v>133</v>
      </c>
      <c r="C542" s="1" t="s">
        <v>994</v>
      </c>
      <c r="D542" s="4">
        <v>500</v>
      </c>
      <c r="E542" t="str">
        <f t="shared" si="17"/>
        <v>Shared</v>
      </c>
      <c r="F542" s="13" t="str">
        <f t="shared" si="16"/>
        <v>2023-02</v>
      </c>
    </row>
    <row r="543" spans="1:6" x14ac:dyDescent="0.2">
      <c r="A543" s="2">
        <v>44971</v>
      </c>
      <c r="B543" s="1" t="s">
        <v>298</v>
      </c>
      <c r="C543" s="1" t="s">
        <v>297</v>
      </c>
      <c r="D543" s="4">
        <v>1200</v>
      </c>
      <c r="E543" t="str">
        <f t="shared" si="17"/>
        <v>Direct</v>
      </c>
      <c r="F543" s="13" t="str">
        <f t="shared" si="16"/>
        <v>2023-02</v>
      </c>
    </row>
    <row r="544" spans="1:6" x14ac:dyDescent="0.2">
      <c r="A544" s="2">
        <v>44971</v>
      </c>
      <c r="B544" s="1" t="s">
        <v>9</v>
      </c>
      <c r="C544" s="1" t="s">
        <v>297</v>
      </c>
      <c r="D544" s="4">
        <v>212</v>
      </c>
      <c r="E544" t="str">
        <f t="shared" si="17"/>
        <v>Direct</v>
      </c>
      <c r="F544" s="13" t="str">
        <f t="shared" si="16"/>
        <v>2023-02</v>
      </c>
    </row>
    <row r="545" spans="1:6" x14ac:dyDescent="0.2">
      <c r="A545" s="2">
        <v>44973</v>
      </c>
      <c r="B545" s="1" t="s">
        <v>134</v>
      </c>
      <c r="C545" s="1" t="s">
        <v>994</v>
      </c>
      <c r="D545" s="4">
        <v>2900</v>
      </c>
      <c r="E545" t="str">
        <f t="shared" si="17"/>
        <v>Shared</v>
      </c>
      <c r="F545" s="13" t="str">
        <f t="shared" si="16"/>
        <v>2023-02</v>
      </c>
    </row>
    <row r="546" spans="1:6" x14ac:dyDescent="0.2">
      <c r="A546" s="2">
        <v>44973</v>
      </c>
      <c r="B546" s="1" t="s">
        <v>412</v>
      </c>
      <c r="C546" s="1" t="s">
        <v>295</v>
      </c>
      <c r="D546" s="4">
        <v>300</v>
      </c>
      <c r="E546" t="str">
        <f t="shared" si="17"/>
        <v>Direct</v>
      </c>
      <c r="F546" s="13" t="str">
        <f t="shared" si="16"/>
        <v>2023-02</v>
      </c>
    </row>
    <row r="547" spans="1:6" x14ac:dyDescent="0.2">
      <c r="A547" s="2">
        <v>44973</v>
      </c>
      <c r="B547" s="1" t="s">
        <v>413</v>
      </c>
      <c r="C547" s="1" t="s">
        <v>295</v>
      </c>
      <c r="D547" s="4">
        <v>500</v>
      </c>
      <c r="E547" t="str">
        <f t="shared" si="17"/>
        <v>Direct</v>
      </c>
      <c r="F547" s="13" t="str">
        <f t="shared" si="16"/>
        <v>2023-02</v>
      </c>
    </row>
    <row r="548" spans="1:6" x14ac:dyDescent="0.2">
      <c r="A548" s="2">
        <v>44974</v>
      </c>
      <c r="B548" s="1" t="s">
        <v>298</v>
      </c>
      <c r="C548" s="1" t="s">
        <v>296</v>
      </c>
      <c r="D548" s="4">
        <v>1200</v>
      </c>
      <c r="E548" t="str">
        <f t="shared" si="17"/>
        <v>Direct</v>
      </c>
      <c r="F548" s="13" t="str">
        <f t="shared" si="16"/>
        <v>2023-02</v>
      </c>
    </row>
    <row r="549" spans="1:6" x14ac:dyDescent="0.2">
      <c r="A549" s="2">
        <v>44974</v>
      </c>
      <c r="B549" s="1" t="s">
        <v>135</v>
      </c>
      <c r="C549" s="1" t="s">
        <v>297</v>
      </c>
      <c r="D549" s="4">
        <v>800</v>
      </c>
      <c r="E549" t="str">
        <f t="shared" si="17"/>
        <v>Direct</v>
      </c>
      <c r="F549" s="13" t="str">
        <f t="shared" si="16"/>
        <v>2023-02</v>
      </c>
    </row>
    <row r="550" spans="1:6" x14ac:dyDescent="0.2">
      <c r="A550" s="2">
        <v>44974</v>
      </c>
      <c r="B550" s="1" t="s">
        <v>414</v>
      </c>
      <c r="C550" s="1" t="s">
        <v>297</v>
      </c>
      <c r="D550" s="4">
        <v>700</v>
      </c>
      <c r="E550" t="str">
        <f t="shared" si="17"/>
        <v>Direct</v>
      </c>
      <c r="F550" s="13" t="str">
        <f t="shared" si="16"/>
        <v>2023-02</v>
      </c>
    </row>
    <row r="551" spans="1:6" x14ac:dyDescent="0.2">
      <c r="A551" s="2">
        <v>44974</v>
      </c>
      <c r="B551" s="1" t="s">
        <v>415</v>
      </c>
      <c r="C551" s="1" t="s">
        <v>295</v>
      </c>
      <c r="D551" s="4">
        <v>150</v>
      </c>
      <c r="E551" t="str">
        <f t="shared" si="17"/>
        <v>Direct</v>
      </c>
      <c r="F551" s="13" t="str">
        <f t="shared" si="16"/>
        <v>2023-02</v>
      </c>
    </row>
    <row r="552" spans="1:6" x14ac:dyDescent="0.2">
      <c r="A552" s="2">
        <v>44974</v>
      </c>
      <c r="B552" s="1" t="s">
        <v>136</v>
      </c>
      <c r="C552" s="1" t="s">
        <v>994</v>
      </c>
      <c r="D552" s="4">
        <v>750</v>
      </c>
      <c r="E552" t="str">
        <f t="shared" si="17"/>
        <v>Shared</v>
      </c>
      <c r="F552" s="13" t="str">
        <f t="shared" si="16"/>
        <v>2023-02</v>
      </c>
    </row>
    <row r="553" spans="1:6" x14ac:dyDescent="0.2">
      <c r="A553" s="2">
        <v>44976</v>
      </c>
      <c r="B553" s="1" t="s">
        <v>416</v>
      </c>
      <c r="C553" s="1" t="s">
        <v>295</v>
      </c>
      <c r="D553" s="4">
        <v>100</v>
      </c>
      <c r="E553" t="str">
        <f t="shared" si="17"/>
        <v>Direct</v>
      </c>
      <c r="F553" s="13" t="str">
        <f t="shared" si="16"/>
        <v>2023-02</v>
      </c>
    </row>
    <row r="554" spans="1:6" x14ac:dyDescent="0.2">
      <c r="A554" s="2">
        <v>44977</v>
      </c>
      <c r="B554" s="1" t="s">
        <v>314</v>
      </c>
      <c r="C554" s="1" t="s">
        <v>295</v>
      </c>
      <c r="D554" s="4">
        <v>2000</v>
      </c>
      <c r="E554" t="str">
        <f t="shared" si="17"/>
        <v>Direct</v>
      </c>
      <c r="F554" s="13" t="str">
        <f t="shared" si="16"/>
        <v>2023-02</v>
      </c>
    </row>
    <row r="555" spans="1:6" x14ac:dyDescent="0.2">
      <c r="A555" s="2">
        <v>44977</v>
      </c>
      <c r="B555" s="1" t="s">
        <v>417</v>
      </c>
      <c r="C555" s="1" t="s">
        <v>297</v>
      </c>
      <c r="D555" s="4">
        <v>1500</v>
      </c>
      <c r="E555" t="str">
        <f t="shared" si="17"/>
        <v>Direct</v>
      </c>
      <c r="F555" s="13" t="str">
        <f t="shared" si="16"/>
        <v>2023-02</v>
      </c>
    </row>
    <row r="556" spans="1:6" x14ac:dyDescent="0.2">
      <c r="A556" s="2">
        <v>44977</v>
      </c>
      <c r="B556" s="1" t="s">
        <v>418</v>
      </c>
      <c r="C556" s="1" t="s">
        <v>297</v>
      </c>
      <c r="D556" s="4">
        <v>400</v>
      </c>
      <c r="E556" t="str">
        <f t="shared" si="17"/>
        <v>Direct</v>
      </c>
      <c r="F556" s="13" t="str">
        <f t="shared" si="16"/>
        <v>2023-02</v>
      </c>
    </row>
    <row r="557" spans="1:6" x14ac:dyDescent="0.2">
      <c r="A557" s="2">
        <v>44977</v>
      </c>
      <c r="B557" s="1" t="s">
        <v>419</v>
      </c>
      <c r="C557" s="1" t="s">
        <v>297</v>
      </c>
      <c r="D557" s="4">
        <v>900</v>
      </c>
      <c r="E557" t="str">
        <f t="shared" si="17"/>
        <v>Direct</v>
      </c>
      <c r="F557" s="13" t="str">
        <f t="shared" si="16"/>
        <v>2023-02</v>
      </c>
    </row>
    <row r="558" spans="1:6" x14ac:dyDescent="0.2">
      <c r="A558" s="2">
        <v>44977</v>
      </c>
      <c r="B558" s="1" t="s">
        <v>420</v>
      </c>
      <c r="C558" s="1" t="s">
        <v>295</v>
      </c>
      <c r="D558" s="4">
        <v>2900</v>
      </c>
      <c r="E558" t="str">
        <f t="shared" si="17"/>
        <v>Direct</v>
      </c>
      <c r="F558" s="13" t="str">
        <f t="shared" si="16"/>
        <v>2023-02</v>
      </c>
    </row>
    <row r="559" spans="1:6" x14ac:dyDescent="0.2">
      <c r="A559" s="2">
        <v>44977</v>
      </c>
      <c r="B559" s="1" t="s">
        <v>137</v>
      </c>
      <c r="C559" s="1" t="s">
        <v>994</v>
      </c>
      <c r="D559" s="4">
        <v>4800</v>
      </c>
      <c r="E559" t="str">
        <f t="shared" si="17"/>
        <v>Shared</v>
      </c>
      <c r="F559" s="13" t="str">
        <f t="shared" si="16"/>
        <v>2023-02</v>
      </c>
    </row>
    <row r="560" spans="1:6" x14ac:dyDescent="0.2">
      <c r="A560" s="2">
        <v>44978</v>
      </c>
      <c r="B560" s="1" t="s">
        <v>421</v>
      </c>
      <c r="C560" s="1" t="s">
        <v>296</v>
      </c>
      <c r="D560" s="4">
        <v>300</v>
      </c>
      <c r="E560" t="str">
        <f t="shared" si="17"/>
        <v>Direct</v>
      </c>
      <c r="F560" s="13" t="str">
        <f t="shared" si="16"/>
        <v>2023-02</v>
      </c>
    </row>
    <row r="561" spans="1:6" x14ac:dyDescent="0.2">
      <c r="A561" s="2">
        <v>44978</v>
      </c>
      <c r="B561" s="1" t="s">
        <v>138</v>
      </c>
      <c r="C561" s="1" t="s">
        <v>994</v>
      </c>
      <c r="D561" s="4">
        <v>150</v>
      </c>
      <c r="E561" t="str">
        <f t="shared" si="17"/>
        <v>Shared</v>
      </c>
      <c r="F561" s="13" t="str">
        <f t="shared" si="16"/>
        <v>2023-02</v>
      </c>
    </row>
    <row r="562" spans="1:6" x14ac:dyDescent="0.2">
      <c r="A562" s="2">
        <v>44978</v>
      </c>
      <c r="B562" s="1" t="s">
        <v>9</v>
      </c>
      <c r="C562" s="1" t="s">
        <v>295</v>
      </c>
      <c r="D562" s="4">
        <v>340</v>
      </c>
      <c r="E562" t="str">
        <f t="shared" si="17"/>
        <v>Direct</v>
      </c>
      <c r="F562" s="13" t="str">
        <f t="shared" si="16"/>
        <v>2023-02</v>
      </c>
    </row>
    <row r="563" spans="1:6" x14ac:dyDescent="0.2">
      <c r="A563" s="2">
        <v>44979</v>
      </c>
      <c r="B563" s="1" t="s">
        <v>422</v>
      </c>
      <c r="C563" s="1" t="s">
        <v>296</v>
      </c>
      <c r="D563" s="4">
        <v>800</v>
      </c>
      <c r="E563" t="str">
        <f t="shared" si="17"/>
        <v>Direct</v>
      </c>
      <c r="F563" s="13" t="str">
        <f t="shared" si="16"/>
        <v>2023-02</v>
      </c>
    </row>
    <row r="564" spans="1:6" x14ac:dyDescent="0.2">
      <c r="A564" s="2">
        <v>44979</v>
      </c>
      <c r="B564" s="1" t="s">
        <v>9</v>
      </c>
      <c r="C564" s="1" t="s">
        <v>296</v>
      </c>
      <c r="D564" s="4">
        <v>80</v>
      </c>
      <c r="E564" t="str">
        <f t="shared" si="17"/>
        <v>Direct</v>
      </c>
      <c r="F564" s="13" t="str">
        <f t="shared" si="16"/>
        <v>2023-02</v>
      </c>
    </row>
    <row r="565" spans="1:6" x14ac:dyDescent="0.2">
      <c r="A565" s="2">
        <v>44980</v>
      </c>
      <c r="B565" s="1" t="s">
        <v>298</v>
      </c>
      <c r="C565" s="1" t="s">
        <v>297</v>
      </c>
      <c r="D565" s="4">
        <v>1200</v>
      </c>
      <c r="E565" t="str">
        <f t="shared" si="17"/>
        <v>Direct</v>
      </c>
      <c r="F565" s="13" t="str">
        <f t="shared" si="16"/>
        <v>2023-02</v>
      </c>
    </row>
    <row r="566" spans="1:6" x14ac:dyDescent="0.2">
      <c r="A566" s="2">
        <v>44980</v>
      </c>
      <c r="B566" s="1" t="s">
        <v>298</v>
      </c>
      <c r="C566" s="1" t="s">
        <v>296</v>
      </c>
      <c r="D566" s="4">
        <v>1200</v>
      </c>
      <c r="E566" t="str">
        <f t="shared" si="17"/>
        <v>Direct</v>
      </c>
      <c r="F566" s="13" t="str">
        <f t="shared" si="16"/>
        <v>2023-02</v>
      </c>
    </row>
    <row r="567" spans="1:6" x14ac:dyDescent="0.2">
      <c r="A567" s="2">
        <v>44980</v>
      </c>
      <c r="B567" s="1" t="s">
        <v>423</v>
      </c>
      <c r="C567" s="1" t="s">
        <v>296</v>
      </c>
      <c r="D567" s="4">
        <v>240</v>
      </c>
      <c r="E567" t="str">
        <f t="shared" si="17"/>
        <v>Direct</v>
      </c>
      <c r="F567" s="13" t="str">
        <f t="shared" si="16"/>
        <v>2023-02</v>
      </c>
    </row>
    <row r="568" spans="1:6" x14ac:dyDescent="0.2">
      <c r="A568" s="2">
        <v>44980</v>
      </c>
      <c r="B568" s="1" t="s">
        <v>139</v>
      </c>
      <c r="C568" s="1" t="s">
        <v>994</v>
      </c>
      <c r="D568" s="4">
        <v>1500</v>
      </c>
      <c r="E568" t="str">
        <f t="shared" si="17"/>
        <v>Shared</v>
      </c>
      <c r="F568" s="13" t="str">
        <f t="shared" si="16"/>
        <v>2023-02</v>
      </c>
    </row>
    <row r="569" spans="1:6" x14ac:dyDescent="0.2">
      <c r="A569" s="2">
        <v>44981</v>
      </c>
      <c r="B569" s="1" t="s">
        <v>140</v>
      </c>
      <c r="C569" s="1" t="s">
        <v>994</v>
      </c>
      <c r="D569" s="4">
        <v>260</v>
      </c>
      <c r="E569" t="str">
        <f t="shared" si="17"/>
        <v>Shared</v>
      </c>
      <c r="F569" s="13" t="str">
        <f t="shared" si="16"/>
        <v>2023-02</v>
      </c>
    </row>
    <row r="570" spans="1:6" x14ac:dyDescent="0.2">
      <c r="A570" s="2">
        <v>44983</v>
      </c>
      <c r="B570" s="1" t="s">
        <v>424</v>
      </c>
      <c r="C570" s="1" t="s">
        <v>297</v>
      </c>
      <c r="D570" s="4">
        <v>600</v>
      </c>
      <c r="E570" t="str">
        <f t="shared" si="17"/>
        <v>Direct</v>
      </c>
      <c r="F570" s="13" t="str">
        <f t="shared" si="16"/>
        <v>2023-02</v>
      </c>
    </row>
    <row r="571" spans="1:6" x14ac:dyDescent="0.2">
      <c r="A571" s="2">
        <v>44983</v>
      </c>
      <c r="B571" s="1" t="s">
        <v>9</v>
      </c>
      <c r="C571" s="1" t="s">
        <v>297</v>
      </c>
      <c r="D571" s="4">
        <v>280</v>
      </c>
      <c r="E571" t="str">
        <f t="shared" si="17"/>
        <v>Direct</v>
      </c>
      <c r="F571" s="13" t="str">
        <f t="shared" si="16"/>
        <v>2023-02</v>
      </c>
    </row>
    <row r="572" spans="1:6" x14ac:dyDescent="0.2">
      <c r="A572" s="2">
        <v>44983</v>
      </c>
      <c r="B572" s="1" t="s">
        <v>425</v>
      </c>
      <c r="C572" s="1" t="s">
        <v>296</v>
      </c>
      <c r="D572" s="4">
        <v>300</v>
      </c>
      <c r="E572" t="str">
        <f t="shared" si="17"/>
        <v>Direct</v>
      </c>
      <c r="F572" s="13" t="str">
        <f t="shared" si="16"/>
        <v>2023-02</v>
      </c>
    </row>
    <row r="573" spans="1:6" x14ac:dyDescent="0.2">
      <c r="A573" s="2">
        <v>44983</v>
      </c>
      <c r="B573" s="1" t="s">
        <v>426</v>
      </c>
      <c r="C573" s="1" t="s">
        <v>295</v>
      </c>
      <c r="D573" s="4">
        <v>2511</v>
      </c>
      <c r="E573" t="str">
        <f t="shared" si="17"/>
        <v>Direct</v>
      </c>
      <c r="F573" s="13" t="str">
        <f t="shared" si="16"/>
        <v>2023-02</v>
      </c>
    </row>
    <row r="574" spans="1:6" x14ac:dyDescent="0.2">
      <c r="A574" s="2">
        <v>44983</v>
      </c>
      <c r="B574" s="1" t="s">
        <v>298</v>
      </c>
      <c r="C574" s="1" t="s">
        <v>296</v>
      </c>
      <c r="D574" s="4">
        <v>1200</v>
      </c>
      <c r="E574" t="str">
        <f t="shared" si="17"/>
        <v>Direct</v>
      </c>
      <c r="F574" s="13" t="str">
        <f t="shared" si="16"/>
        <v>2023-02</v>
      </c>
    </row>
    <row r="575" spans="1:6" x14ac:dyDescent="0.2">
      <c r="A575" s="2">
        <v>44983</v>
      </c>
      <c r="B575" s="1" t="s">
        <v>9</v>
      </c>
      <c r="C575" s="1" t="s">
        <v>296</v>
      </c>
      <c r="D575" s="4">
        <v>120</v>
      </c>
      <c r="E575" t="str">
        <f t="shared" si="17"/>
        <v>Direct</v>
      </c>
      <c r="F575" s="13" t="str">
        <f t="shared" si="16"/>
        <v>2023-02</v>
      </c>
    </row>
    <row r="576" spans="1:6" x14ac:dyDescent="0.2">
      <c r="A576" s="2">
        <v>44983</v>
      </c>
      <c r="B576" s="1" t="s">
        <v>9</v>
      </c>
      <c r="C576" s="1" t="s">
        <v>297</v>
      </c>
      <c r="D576" s="4">
        <v>180</v>
      </c>
      <c r="E576" t="str">
        <f t="shared" si="17"/>
        <v>Direct</v>
      </c>
      <c r="F576" s="13" t="str">
        <f t="shared" si="16"/>
        <v>2023-02</v>
      </c>
    </row>
    <row r="577" spans="1:6" x14ac:dyDescent="0.2">
      <c r="A577" s="2">
        <v>44984</v>
      </c>
      <c r="B577" s="1" t="s">
        <v>141</v>
      </c>
      <c r="C577" s="1" t="s">
        <v>994</v>
      </c>
      <c r="D577" s="4">
        <v>650</v>
      </c>
      <c r="E577" t="str">
        <f t="shared" si="17"/>
        <v>Shared</v>
      </c>
      <c r="F577" s="13" t="str">
        <f t="shared" si="16"/>
        <v>2023-02</v>
      </c>
    </row>
    <row r="578" spans="1:6" x14ac:dyDescent="0.2">
      <c r="A578" s="2">
        <v>44985</v>
      </c>
      <c r="B578" s="1" t="s">
        <v>9</v>
      </c>
      <c r="C578" s="1" t="s">
        <v>295</v>
      </c>
      <c r="D578" s="4">
        <v>200</v>
      </c>
      <c r="E578" t="str">
        <f t="shared" si="17"/>
        <v>Direct</v>
      </c>
      <c r="F578" s="13" t="str">
        <f t="shared" ref="F578:F641" si="18">YEAR(A578)&amp;"-"&amp;TEXT(MONTH(A578),"00")</f>
        <v>2023-02</v>
      </c>
    </row>
    <row r="579" spans="1:6" x14ac:dyDescent="0.2">
      <c r="A579" s="2">
        <v>44985</v>
      </c>
      <c r="B579" s="1" t="s">
        <v>1034</v>
      </c>
      <c r="C579" s="1" t="s">
        <v>994</v>
      </c>
      <c r="D579" s="4">
        <v>7600</v>
      </c>
      <c r="E579" t="str">
        <f t="shared" ref="E579:E642" si="19">IF(OR(C579="A302", C579="B303", C579="C301"), "Direct", "Shared")</f>
        <v>Shared</v>
      </c>
      <c r="F579" s="13" t="str">
        <f t="shared" si="18"/>
        <v>2023-02</v>
      </c>
    </row>
    <row r="580" spans="1:6" x14ac:dyDescent="0.2">
      <c r="A580" s="2">
        <v>44985</v>
      </c>
      <c r="B580" s="1" t="s">
        <v>298</v>
      </c>
      <c r="C580" s="1" t="s">
        <v>295</v>
      </c>
      <c r="D580" s="4">
        <v>1200</v>
      </c>
      <c r="E580" t="str">
        <f t="shared" si="19"/>
        <v>Direct</v>
      </c>
      <c r="F580" s="13" t="str">
        <f t="shared" si="18"/>
        <v>2023-02</v>
      </c>
    </row>
    <row r="581" spans="1:6" x14ac:dyDescent="0.2">
      <c r="A581" s="2">
        <v>44987</v>
      </c>
      <c r="B581" s="1" t="s">
        <v>142</v>
      </c>
      <c r="C581" s="1" t="s">
        <v>994</v>
      </c>
      <c r="D581" s="4">
        <v>4800</v>
      </c>
      <c r="E581" t="str">
        <f t="shared" si="19"/>
        <v>Shared</v>
      </c>
      <c r="F581" s="13" t="str">
        <f t="shared" si="18"/>
        <v>2023-03</v>
      </c>
    </row>
    <row r="582" spans="1:6" x14ac:dyDescent="0.2">
      <c r="A582" s="2">
        <v>44987</v>
      </c>
      <c r="B582" s="1" t="s">
        <v>298</v>
      </c>
      <c r="C582" s="1" t="s">
        <v>297</v>
      </c>
      <c r="D582" s="4">
        <v>1200</v>
      </c>
      <c r="E582" t="str">
        <f t="shared" si="19"/>
        <v>Direct</v>
      </c>
      <c r="F582" s="13" t="str">
        <f t="shared" si="18"/>
        <v>2023-03</v>
      </c>
    </row>
    <row r="583" spans="1:6" x14ac:dyDescent="0.2">
      <c r="A583" s="2">
        <v>44987</v>
      </c>
      <c r="B583" s="1" t="s">
        <v>9</v>
      </c>
      <c r="C583" s="1" t="s">
        <v>297</v>
      </c>
      <c r="D583" s="4">
        <v>320</v>
      </c>
      <c r="E583" t="str">
        <f t="shared" si="19"/>
        <v>Direct</v>
      </c>
      <c r="F583" s="13" t="str">
        <f t="shared" si="18"/>
        <v>2023-03</v>
      </c>
    </row>
    <row r="584" spans="1:6" x14ac:dyDescent="0.2">
      <c r="A584" s="2">
        <v>44988</v>
      </c>
      <c r="B584" s="1" t="s">
        <v>298</v>
      </c>
      <c r="C584" s="1" t="s">
        <v>296</v>
      </c>
      <c r="D584" s="4">
        <v>1200</v>
      </c>
      <c r="E584" t="str">
        <f t="shared" si="19"/>
        <v>Direct</v>
      </c>
      <c r="F584" s="13" t="str">
        <f t="shared" si="18"/>
        <v>2023-03</v>
      </c>
    </row>
    <row r="585" spans="1:6" x14ac:dyDescent="0.2">
      <c r="A585" s="2">
        <v>44988</v>
      </c>
      <c r="B585" s="1" t="s">
        <v>9</v>
      </c>
      <c r="C585" s="1" t="s">
        <v>296</v>
      </c>
      <c r="D585" s="4">
        <v>200</v>
      </c>
      <c r="E585" t="str">
        <f t="shared" si="19"/>
        <v>Direct</v>
      </c>
      <c r="F585" s="13" t="str">
        <f t="shared" si="18"/>
        <v>2023-03</v>
      </c>
    </row>
    <row r="586" spans="1:6" x14ac:dyDescent="0.2">
      <c r="A586" s="2">
        <v>44988</v>
      </c>
      <c r="B586" s="1" t="s">
        <v>363</v>
      </c>
      <c r="C586" s="1" t="s">
        <v>295</v>
      </c>
      <c r="D586" s="4">
        <v>800</v>
      </c>
      <c r="E586" t="str">
        <f t="shared" si="19"/>
        <v>Direct</v>
      </c>
      <c r="F586" s="13" t="str">
        <f t="shared" si="18"/>
        <v>2023-03</v>
      </c>
    </row>
    <row r="587" spans="1:6" x14ac:dyDescent="0.2">
      <c r="A587" s="2">
        <v>44988</v>
      </c>
      <c r="B587" s="1" t="s">
        <v>366</v>
      </c>
      <c r="C587" s="1" t="s">
        <v>295</v>
      </c>
      <c r="D587" s="4">
        <v>80</v>
      </c>
      <c r="E587" t="str">
        <f t="shared" si="19"/>
        <v>Direct</v>
      </c>
      <c r="F587" s="13" t="str">
        <f t="shared" si="18"/>
        <v>2023-03</v>
      </c>
    </row>
    <row r="588" spans="1:6" x14ac:dyDescent="0.2">
      <c r="A588" s="2">
        <v>44988</v>
      </c>
      <c r="B588" s="1" t="s">
        <v>144</v>
      </c>
      <c r="C588" s="1" t="s">
        <v>994</v>
      </c>
      <c r="D588" s="4">
        <v>2800</v>
      </c>
      <c r="E588" t="str">
        <f t="shared" si="19"/>
        <v>Shared</v>
      </c>
      <c r="F588" s="13" t="str">
        <f t="shared" si="18"/>
        <v>2023-03</v>
      </c>
    </row>
    <row r="589" spans="1:6" x14ac:dyDescent="0.2">
      <c r="A589" s="2">
        <v>44988</v>
      </c>
      <c r="B589" s="1" t="s">
        <v>145</v>
      </c>
      <c r="C589" s="1" t="s">
        <v>994</v>
      </c>
      <c r="D589" s="4">
        <v>200</v>
      </c>
      <c r="E589" t="str">
        <f t="shared" si="19"/>
        <v>Shared</v>
      </c>
      <c r="F589" s="13" t="str">
        <f t="shared" si="18"/>
        <v>2023-03</v>
      </c>
    </row>
    <row r="590" spans="1:6" x14ac:dyDescent="0.2">
      <c r="A590" s="2">
        <v>44988</v>
      </c>
      <c r="B590" s="1" t="s">
        <v>427</v>
      </c>
      <c r="C590" s="1" t="s">
        <v>297</v>
      </c>
      <c r="D590" s="4">
        <v>250</v>
      </c>
      <c r="E590" t="str">
        <f t="shared" si="19"/>
        <v>Direct</v>
      </c>
      <c r="F590" s="13" t="str">
        <f t="shared" si="18"/>
        <v>2023-03</v>
      </c>
    </row>
    <row r="591" spans="1:6" x14ac:dyDescent="0.2">
      <c r="A591" s="2">
        <v>44989</v>
      </c>
      <c r="B591" s="1" t="s">
        <v>428</v>
      </c>
      <c r="C591" s="1" t="s">
        <v>295</v>
      </c>
      <c r="D591" s="4">
        <v>700</v>
      </c>
      <c r="E591" t="str">
        <f t="shared" si="19"/>
        <v>Direct</v>
      </c>
      <c r="F591" s="13" t="str">
        <f t="shared" si="18"/>
        <v>2023-03</v>
      </c>
    </row>
    <row r="592" spans="1:6" x14ac:dyDescent="0.2">
      <c r="A592" s="2">
        <v>44989</v>
      </c>
      <c r="B592" s="1" t="s">
        <v>427</v>
      </c>
      <c r="C592" s="1" t="s">
        <v>297</v>
      </c>
      <c r="D592" s="4">
        <v>300</v>
      </c>
      <c r="E592" t="str">
        <f t="shared" si="19"/>
        <v>Direct</v>
      </c>
      <c r="F592" s="13" t="str">
        <f t="shared" si="18"/>
        <v>2023-03</v>
      </c>
    </row>
    <row r="593" spans="1:6" x14ac:dyDescent="0.2">
      <c r="A593" s="2">
        <v>44991</v>
      </c>
      <c r="B593" s="1" t="s">
        <v>143</v>
      </c>
      <c r="C593" s="1" t="s">
        <v>994</v>
      </c>
      <c r="D593" s="4">
        <v>4800</v>
      </c>
      <c r="E593" t="str">
        <f t="shared" si="19"/>
        <v>Shared</v>
      </c>
      <c r="F593" s="13" t="str">
        <f t="shared" si="18"/>
        <v>2023-03</v>
      </c>
    </row>
    <row r="594" spans="1:6" x14ac:dyDescent="0.2">
      <c r="A594" s="2">
        <v>44991</v>
      </c>
      <c r="B594" s="1" t="s">
        <v>1035</v>
      </c>
      <c r="C594" s="1" t="s">
        <v>295</v>
      </c>
      <c r="D594" s="4">
        <v>2100</v>
      </c>
      <c r="E594" t="str">
        <f t="shared" si="19"/>
        <v>Direct</v>
      </c>
      <c r="F594" s="13" t="str">
        <f t="shared" si="18"/>
        <v>2023-03</v>
      </c>
    </row>
    <row r="595" spans="1:6" x14ac:dyDescent="0.2">
      <c r="A595" s="2">
        <v>44991</v>
      </c>
      <c r="B595" s="1" t="s">
        <v>363</v>
      </c>
      <c r="C595" s="1" t="s">
        <v>295</v>
      </c>
      <c r="D595" s="4">
        <v>1200</v>
      </c>
      <c r="E595" t="str">
        <f t="shared" si="19"/>
        <v>Direct</v>
      </c>
      <c r="F595" s="13" t="str">
        <f t="shared" si="18"/>
        <v>2023-03</v>
      </c>
    </row>
    <row r="596" spans="1:6" x14ac:dyDescent="0.2">
      <c r="A596" s="2">
        <v>44991</v>
      </c>
      <c r="B596" s="1" t="s">
        <v>298</v>
      </c>
      <c r="C596" s="1" t="s">
        <v>295</v>
      </c>
      <c r="D596" s="4">
        <v>800</v>
      </c>
      <c r="E596" t="str">
        <f t="shared" si="19"/>
        <v>Direct</v>
      </c>
      <c r="F596" s="13" t="str">
        <f t="shared" si="18"/>
        <v>2023-03</v>
      </c>
    </row>
    <row r="597" spans="1:6" x14ac:dyDescent="0.2">
      <c r="A597" s="2">
        <v>44991</v>
      </c>
      <c r="B597" s="1" t="s">
        <v>298</v>
      </c>
      <c r="C597" s="1" t="s">
        <v>296</v>
      </c>
      <c r="D597" s="4">
        <v>1200</v>
      </c>
      <c r="E597" t="str">
        <f t="shared" si="19"/>
        <v>Direct</v>
      </c>
      <c r="F597" s="13" t="str">
        <f t="shared" si="18"/>
        <v>2023-03</v>
      </c>
    </row>
    <row r="598" spans="1:6" x14ac:dyDescent="0.2">
      <c r="A598" s="2">
        <v>44991</v>
      </c>
      <c r="B598" s="1" t="s">
        <v>429</v>
      </c>
      <c r="C598" s="1" t="s">
        <v>295</v>
      </c>
      <c r="D598" s="4">
        <v>1200</v>
      </c>
      <c r="E598" t="str">
        <f t="shared" si="19"/>
        <v>Direct</v>
      </c>
      <c r="F598" s="13" t="str">
        <f t="shared" si="18"/>
        <v>2023-03</v>
      </c>
    </row>
    <row r="599" spans="1:6" x14ac:dyDescent="0.2">
      <c r="A599" s="2">
        <v>44991</v>
      </c>
      <c r="B599" s="1" t="s">
        <v>430</v>
      </c>
      <c r="C599" s="1" t="s">
        <v>295</v>
      </c>
      <c r="D599" s="4">
        <v>100</v>
      </c>
      <c r="E599" t="str">
        <f t="shared" si="19"/>
        <v>Direct</v>
      </c>
      <c r="F599" s="13" t="str">
        <f t="shared" si="18"/>
        <v>2023-03</v>
      </c>
    </row>
    <row r="600" spans="1:6" x14ac:dyDescent="0.2">
      <c r="A600" s="2">
        <v>44992</v>
      </c>
      <c r="B600" s="1" t="s">
        <v>431</v>
      </c>
      <c r="C600" s="1" t="s">
        <v>297</v>
      </c>
      <c r="D600" s="4">
        <v>350</v>
      </c>
      <c r="E600" t="str">
        <f t="shared" si="19"/>
        <v>Direct</v>
      </c>
      <c r="F600" s="13" t="str">
        <f t="shared" si="18"/>
        <v>2023-03</v>
      </c>
    </row>
    <row r="601" spans="1:6" x14ac:dyDescent="0.2">
      <c r="A601" s="2">
        <v>44992</v>
      </c>
      <c r="B601" s="1" t="s">
        <v>432</v>
      </c>
      <c r="C601" s="1" t="s">
        <v>297</v>
      </c>
      <c r="D601" s="4">
        <v>350</v>
      </c>
      <c r="E601" t="str">
        <f t="shared" si="19"/>
        <v>Direct</v>
      </c>
      <c r="F601" s="13" t="str">
        <f t="shared" si="18"/>
        <v>2023-03</v>
      </c>
    </row>
    <row r="602" spans="1:6" x14ac:dyDescent="0.2">
      <c r="A602" s="2">
        <v>44992</v>
      </c>
      <c r="B602" s="1" t="s">
        <v>146</v>
      </c>
      <c r="C602" s="1" t="s">
        <v>297</v>
      </c>
      <c r="D602" s="4">
        <v>200</v>
      </c>
      <c r="E602" t="str">
        <f t="shared" si="19"/>
        <v>Direct</v>
      </c>
      <c r="F602" s="13" t="str">
        <f t="shared" si="18"/>
        <v>2023-03</v>
      </c>
    </row>
    <row r="603" spans="1:6" x14ac:dyDescent="0.2">
      <c r="A603" s="2">
        <v>44992</v>
      </c>
      <c r="B603" s="1" t="s">
        <v>9</v>
      </c>
      <c r="C603" s="1" t="s">
        <v>295</v>
      </c>
      <c r="D603" s="4">
        <v>340</v>
      </c>
      <c r="E603" t="str">
        <f t="shared" si="19"/>
        <v>Direct</v>
      </c>
      <c r="F603" s="13" t="str">
        <f t="shared" si="18"/>
        <v>2023-03</v>
      </c>
    </row>
    <row r="604" spans="1:6" x14ac:dyDescent="0.2">
      <c r="A604" s="2">
        <v>44992</v>
      </c>
      <c r="B604" s="1" t="s">
        <v>9</v>
      </c>
      <c r="C604" s="1" t="s">
        <v>296</v>
      </c>
      <c r="D604" s="4">
        <v>310</v>
      </c>
      <c r="E604" t="str">
        <f t="shared" si="19"/>
        <v>Direct</v>
      </c>
      <c r="F604" s="13" t="str">
        <f t="shared" si="18"/>
        <v>2023-03</v>
      </c>
    </row>
    <row r="605" spans="1:6" x14ac:dyDescent="0.2">
      <c r="A605" s="2">
        <v>44992</v>
      </c>
      <c r="B605" s="1" t="s">
        <v>366</v>
      </c>
      <c r="C605" s="1" t="s">
        <v>295</v>
      </c>
      <c r="D605" s="4">
        <v>520</v>
      </c>
      <c r="E605" t="str">
        <f t="shared" si="19"/>
        <v>Direct</v>
      </c>
      <c r="F605" s="13" t="str">
        <f t="shared" si="18"/>
        <v>2023-03</v>
      </c>
    </row>
    <row r="606" spans="1:6" x14ac:dyDescent="0.2">
      <c r="A606" s="2">
        <v>44993</v>
      </c>
      <c r="B606" s="1" t="s">
        <v>985</v>
      </c>
      <c r="C606" s="1" t="s">
        <v>296</v>
      </c>
      <c r="D606" s="4">
        <v>15473</v>
      </c>
      <c r="E606" t="str">
        <f t="shared" si="19"/>
        <v>Direct</v>
      </c>
      <c r="F606" s="13" t="str">
        <f t="shared" si="18"/>
        <v>2023-03</v>
      </c>
    </row>
    <row r="607" spans="1:6" x14ac:dyDescent="0.2">
      <c r="A607" s="2">
        <v>44993</v>
      </c>
      <c r="B607" s="1" t="s">
        <v>985</v>
      </c>
      <c r="C607" s="1" t="s">
        <v>295</v>
      </c>
      <c r="D607" s="4">
        <v>30280</v>
      </c>
      <c r="E607" t="str">
        <f t="shared" si="19"/>
        <v>Direct</v>
      </c>
      <c r="F607" s="13" t="str">
        <f t="shared" si="18"/>
        <v>2023-03</v>
      </c>
    </row>
    <row r="608" spans="1:6" x14ac:dyDescent="0.2">
      <c r="A608" s="2">
        <v>44993</v>
      </c>
      <c r="B608" s="1" t="s">
        <v>985</v>
      </c>
      <c r="C608" s="1" t="s">
        <v>297</v>
      </c>
      <c r="D608" s="4">
        <v>30280</v>
      </c>
      <c r="E608" t="str">
        <f t="shared" si="19"/>
        <v>Direct</v>
      </c>
      <c r="F608" s="13" t="str">
        <f t="shared" si="18"/>
        <v>2023-03</v>
      </c>
    </row>
    <row r="609" spans="1:6" x14ac:dyDescent="0.2">
      <c r="A609" s="2">
        <v>44997</v>
      </c>
      <c r="B609" s="1" t="s">
        <v>433</v>
      </c>
      <c r="C609" s="1" t="s">
        <v>295</v>
      </c>
      <c r="D609" s="4">
        <v>150</v>
      </c>
      <c r="E609" t="str">
        <f t="shared" si="19"/>
        <v>Direct</v>
      </c>
      <c r="F609" s="13" t="str">
        <f t="shared" si="18"/>
        <v>2023-03</v>
      </c>
    </row>
    <row r="610" spans="1:6" x14ac:dyDescent="0.2">
      <c r="A610" s="2">
        <v>44997</v>
      </c>
      <c r="B610" s="1" t="s">
        <v>147</v>
      </c>
      <c r="C610" s="1" t="s">
        <v>994</v>
      </c>
      <c r="D610" s="4">
        <v>1200</v>
      </c>
      <c r="E610" t="str">
        <f t="shared" si="19"/>
        <v>Shared</v>
      </c>
      <c r="F610" s="13" t="str">
        <f t="shared" si="18"/>
        <v>2023-03</v>
      </c>
    </row>
    <row r="611" spans="1:6" x14ac:dyDescent="0.2">
      <c r="A611" s="2">
        <v>44997</v>
      </c>
      <c r="B611" s="1" t="s">
        <v>434</v>
      </c>
      <c r="C611" s="1" t="s">
        <v>297</v>
      </c>
      <c r="D611" s="4">
        <v>400</v>
      </c>
      <c r="E611" t="str">
        <f t="shared" si="19"/>
        <v>Direct</v>
      </c>
      <c r="F611" s="13" t="str">
        <f t="shared" si="18"/>
        <v>2023-03</v>
      </c>
    </row>
    <row r="612" spans="1:6" x14ac:dyDescent="0.2">
      <c r="A612" s="2">
        <v>44997</v>
      </c>
      <c r="B612" s="1" t="s">
        <v>314</v>
      </c>
      <c r="C612" s="1" t="s">
        <v>297</v>
      </c>
      <c r="D612" s="4">
        <v>2000</v>
      </c>
      <c r="E612" t="str">
        <f t="shared" si="19"/>
        <v>Direct</v>
      </c>
      <c r="F612" s="13" t="str">
        <f t="shared" si="18"/>
        <v>2023-03</v>
      </c>
    </row>
    <row r="613" spans="1:6" x14ac:dyDescent="0.2">
      <c r="A613" s="2">
        <v>44997</v>
      </c>
      <c r="B613" s="1" t="s">
        <v>315</v>
      </c>
      <c r="C613" s="1" t="s">
        <v>297</v>
      </c>
      <c r="D613" s="4">
        <v>200</v>
      </c>
      <c r="E613" t="str">
        <f t="shared" si="19"/>
        <v>Direct</v>
      </c>
      <c r="F613" s="13" t="str">
        <f t="shared" si="18"/>
        <v>2023-03</v>
      </c>
    </row>
    <row r="614" spans="1:6" x14ac:dyDescent="0.2">
      <c r="A614" s="2">
        <v>44998</v>
      </c>
      <c r="B614" s="1" t="s">
        <v>435</v>
      </c>
      <c r="C614" s="1" t="s">
        <v>297</v>
      </c>
      <c r="D614" s="4">
        <v>300</v>
      </c>
      <c r="E614" t="str">
        <f t="shared" si="19"/>
        <v>Direct</v>
      </c>
      <c r="F614" s="13" t="str">
        <f t="shared" si="18"/>
        <v>2023-03</v>
      </c>
    </row>
    <row r="615" spans="1:6" x14ac:dyDescent="0.2">
      <c r="A615" s="2">
        <v>44998</v>
      </c>
      <c r="B615" s="1" t="s">
        <v>148</v>
      </c>
      <c r="C615" s="1" t="s">
        <v>994</v>
      </c>
      <c r="D615" s="4">
        <v>300</v>
      </c>
      <c r="E615" t="str">
        <f t="shared" si="19"/>
        <v>Shared</v>
      </c>
      <c r="F615" s="13" t="str">
        <f t="shared" si="18"/>
        <v>2023-03</v>
      </c>
    </row>
    <row r="616" spans="1:6" x14ac:dyDescent="0.2">
      <c r="A616" s="2">
        <v>45000</v>
      </c>
      <c r="B616" s="1" t="s">
        <v>149</v>
      </c>
      <c r="C616" s="1" t="s">
        <v>994</v>
      </c>
      <c r="D616" s="4">
        <v>870</v>
      </c>
      <c r="E616" t="str">
        <f t="shared" si="19"/>
        <v>Shared</v>
      </c>
      <c r="F616" s="13" t="str">
        <f t="shared" si="18"/>
        <v>2023-03</v>
      </c>
    </row>
    <row r="617" spans="1:6" x14ac:dyDescent="0.2">
      <c r="A617" s="2">
        <v>45000</v>
      </c>
      <c r="B617" s="1" t="s">
        <v>314</v>
      </c>
      <c r="C617" s="1" t="s">
        <v>297</v>
      </c>
      <c r="D617" s="4">
        <v>2000</v>
      </c>
      <c r="E617" t="str">
        <f t="shared" si="19"/>
        <v>Direct</v>
      </c>
      <c r="F617" s="13" t="str">
        <f t="shared" si="18"/>
        <v>2023-03</v>
      </c>
    </row>
    <row r="618" spans="1:6" x14ac:dyDescent="0.2">
      <c r="A618" s="2">
        <v>45000</v>
      </c>
      <c r="B618" s="1" t="s">
        <v>298</v>
      </c>
      <c r="C618" s="1" t="s">
        <v>296</v>
      </c>
      <c r="D618" s="4">
        <v>1200</v>
      </c>
      <c r="E618" t="str">
        <f t="shared" si="19"/>
        <v>Direct</v>
      </c>
      <c r="F618" s="13" t="str">
        <f t="shared" si="18"/>
        <v>2023-03</v>
      </c>
    </row>
    <row r="619" spans="1:6" x14ac:dyDescent="0.2">
      <c r="A619" s="2">
        <v>45000</v>
      </c>
      <c r="B619" s="1" t="s">
        <v>315</v>
      </c>
      <c r="C619" s="1" t="s">
        <v>297</v>
      </c>
      <c r="D619" s="4">
        <v>300</v>
      </c>
      <c r="E619" t="str">
        <f t="shared" si="19"/>
        <v>Direct</v>
      </c>
      <c r="F619" s="13" t="str">
        <f t="shared" si="18"/>
        <v>2023-03</v>
      </c>
    </row>
    <row r="620" spans="1:6" x14ac:dyDescent="0.2">
      <c r="A620" s="2">
        <v>45000</v>
      </c>
      <c r="B620" s="1" t="s">
        <v>9</v>
      </c>
      <c r="C620" s="1" t="s">
        <v>296</v>
      </c>
      <c r="D620" s="4">
        <v>120</v>
      </c>
      <c r="E620" t="str">
        <f t="shared" si="19"/>
        <v>Direct</v>
      </c>
      <c r="F620" s="13" t="str">
        <f t="shared" si="18"/>
        <v>2023-03</v>
      </c>
    </row>
    <row r="621" spans="1:6" x14ac:dyDescent="0.2">
      <c r="A621" s="2">
        <v>45000</v>
      </c>
      <c r="B621" s="1" t="s">
        <v>1036</v>
      </c>
      <c r="C621" s="1" t="s">
        <v>297</v>
      </c>
      <c r="D621" s="4">
        <v>2400</v>
      </c>
      <c r="E621" t="str">
        <f t="shared" si="19"/>
        <v>Direct</v>
      </c>
      <c r="F621" s="13" t="str">
        <f t="shared" si="18"/>
        <v>2023-03</v>
      </c>
    </row>
    <row r="622" spans="1:6" x14ac:dyDescent="0.2">
      <c r="A622" s="2">
        <v>45001</v>
      </c>
      <c r="B622" s="1" t="s">
        <v>437</v>
      </c>
      <c r="C622" s="1" t="s">
        <v>296</v>
      </c>
      <c r="D622" s="4">
        <v>250</v>
      </c>
      <c r="E622" t="str">
        <f t="shared" si="19"/>
        <v>Direct</v>
      </c>
      <c r="F622" s="13" t="str">
        <f t="shared" si="18"/>
        <v>2023-03</v>
      </c>
    </row>
    <row r="623" spans="1:6" x14ac:dyDescent="0.2">
      <c r="A623" s="2">
        <v>45001</v>
      </c>
      <c r="B623" s="1" t="s">
        <v>150</v>
      </c>
      <c r="C623" s="1" t="s">
        <v>994</v>
      </c>
      <c r="D623" s="4">
        <v>1700</v>
      </c>
      <c r="E623" t="str">
        <f t="shared" si="19"/>
        <v>Shared</v>
      </c>
      <c r="F623" s="13" t="str">
        <f t="shared" si="18"/>
        <v>2023-03</v>
      </c>
    </row>
    <row r="624" spans="1:6" x14ac:dyDescent="0.2">
      <c r="A624" s="2">
        <v>45002</v>
      </c>
      <c r="B624" s="1" t="s">
        <v>436</v>
      </c>
      <c r="C624" s="1" t="s">
        <v>297</v>
      </c>
      <c r="D624" s="4">
        <v>700</v>
      </c>
      <c r="E624" t="str">
        <f t="shared" si="19"/>
        <v>Direct</v>
      </c>
      <c r="F624" s="13" t="str">
        <f t="shared" si="18"/>
        <v>2023-03</v>
      </c>
    </row>
    <row r="625" spans="1:6" x14ac:dyDescent="0.2">
      <c r="A625" s="2">
        <v>45002</v>
      </c>
      <c r="B625" s="1" t="s">
        <v>438</v>
      </c>
      <c r="C625" s="1" t="s">
        <v>296</v>
      </c>
      <c r="D625" s="4">
        <v>3000</v>
      </c>
      <c r="E625" t="str">
        <f t="shared" si="19"/>
        <v>Direct</v>
      </c>
      <c r="F625" s="13" t="str">
        <f t="shared" si="18"/>
        <v>2023-03</v>
      </c>
    </row>
    <row r="626" spans="1:6" x14ac:dyDescent="0.2">
      <c r="A626" s="2">
        <v>45002</v>
      </c>
      <c r="B626" s="1" t="s">
        <v>9</v>
      </c>
      <c r="C626" s="1" t="s">
        <v>295</v>
      </c>
      <c r="D626" s="4">
        <v>260</v>
      </c>
      <c r="E626" t="str">
        <f t="shared" si="19"/>
        <v>Direct</v>
      </c>
      <c r="F626" s="13" t="str">
        <f t="shared" si="18"/>
        <v>2023-03</v>
      </c>
    </row>
    <row r="627" spans="1:6" x14ac:dyDescent="0.2">
      <c r="A627" s="2">
        <v>45004</v>
      </c>
      <c r="B627" s="1" t="s">
        <v>314</v>
      </c>
      <c r="C627" s="1" t="s">
        <v>295</v>
      </c>
      <c r="D627" s="4">
        <v>2000</v>
      </c>
      <c r="E627" t="str">
        <f t="shared" si="19"/>
        <v>Direct</v>
      </c>
      <c r="F627" s="13" t="str">
        <f t="shared" si="18"/>
        <v>2023-03</v>
      </c>
    </row>
    <row r="628" spans="1:6" x14ac:dyDescent="0.2">
      <c r="A628" s="2">
        <v>45004</v>
      </c>
      <c r="B628" s="1" t="s">
        <v>9</v>
      </c>
      <c r="C628" s="1" t="s">
        <v>295</v>
      </c>
      <c r="D628" s="4">
        <v>420</v>
      </c>
      <c r="E628" t="str">
        <f t="shared" si="19"/>
        <v>Direct</v>
      </c>
      <c r="F628" s="13" t="str">
        <f t="shared" si="18"/>
        <v>2023-03</v>
      </c>
    </row>
    <row r="629" spans="1:6" x14ac:dyDescent="0.2">
      <c r="A629" s="2">
        <v>45006</v>
      </c>
      <c r="B629" s="1" t="s">
        <v>439</v>
      </c>
      <c r="C629" s="1" t="s">
        <v>295</v>
      </c>
      <c r="D629" s="4">
        <v>350</v>
      </c>
      <c r="E629" t="str">
        <f t="shared" si="19"/>
        <v>Direct</v>
      </c>
      <c r="F629" s="13" t="str">
        <f t="shared" si="18"/>
        <v>2023-03</v>
      </c>
    </row>
    <row r="630" spans="1:6" x14ac:dyDescent="0.2">
      <c r="A630" s="2">
        <v>45006</v>
      </c>
      <c r="B630" s="1" t="s">
        <v>151</v>
      </c>
      <c r="C630" s="1" t="s">
        <v>295</v>
      </c>
      <c r="D630" s="4">
        <v>350</v>
      </c>
      <c r="E630" t="str">
        <f t="shared" si="19"/>
        <v>Direct</v>
      </c>
      <c r="F630" s="13" t="str">
        <f t="shared" si="18"/>
        <v>2023-03</v>
      </c>
    </row>
    <row r="631" spans="1:6" x14ac:dyDescent="0.2">
      <c r="A631" s="2">
        <v>45006</v>
      </c>
      <c r="B631" s="1" t="s">
        <v>152</v>
      </c>
      <c r="C631" s="1" t="s">
        <v>994</v>
      </c>
      <c r="D631" s="4">
        <v>800</v>
      </c>
      <c r="E631" t="str">
        <f t="shared" si="19"/>
        <v>Shared</v>
      </c>
      <c r="F631" s="13" t="str">
        <f t="shared" si="18"/>
        <v>2023-03</v>
      </c>
    </row>
    <row r="632" spans="1:6" x14ac:dyDescent="0.2">
      <c r="A632" s="2">
        <v>45006</v>
      </c>
      <c r="B632" s="1" t="s">
        <v>147</v>
      </c>
      <c r="C632" s="1" t="s">
        <v>994</v>
      </c>
      <c r="D632" s="4">
        <v>1500</v>
      </c>
      <c r="E632" t="str">
        <f t="shared" si="19"/>
        <v>Shared</v>
      </c>
      <c r="F632" s="13" t="str">
        <f t="shared" si="18"/>
        <v>2023-03</v>
      </c>
    </row>
    <row r="633" spans="1:6" x14ac:dyDescent="0.2">
      <c r="A633" s="2">
        <v>45006</v>
      </c>
      <c r="B633" s="1" t="s">
        <v>153</v>
      </c>
      <c r="C633" s="1" t="s">
        <v>994</v>
      </c>
      <c r="D633" s="4">
        <v>1000</v>
      </c>
      <c r="E633" t="str">
        <f t="shared" si="19"/>
        <v>Shared</v>
      </c>
      <c r="F633" s="13" t="str">
        <f t="shared" si="18"/>
        <v>2023-03</v>
      </c>
    </row>
    <row r="634" spans="1:6" x14ac:dyDescent="0.2">
      <c r="A634" s="2">
        <v>45008</v>
      </c>
      <c r="B634" s="1" t="s">
        <v>1037</v>
      </c>
      <c r="C634" s="1" t="s">
        <v>994</v>
      </c>
      <c r="D634" s="4">
        <v>700</v>
      </c>
      <c r="E634" t="str">
        <f t="shared" si="19"/>
        <v>Shared</v>
      </c>
      <c r="F634" s="13" t="str">
        <f t="shared" si="18"/>
        <v>2023-03</v>
      </c>
    </row>
    <row r="635" spans="1:6" x14ac:dyDescent="0.2">
      <c r="A635" s="2">
        <v>45011</v>
      </c>
      <c r="B635" s="1" t="s">
        <v>440</v>
      </c>
      <c r="C635" s="1" t="s">
        <v>296</v>
      </c>
      <c r="D635" s="4">
        <v>400</v>
      </c>
      <c r="E635" t="str">
        <f t="shared" si="19"/>
        <v>Direct</v>
      </c>
      <c r="F635" s="13" t="str">
        <f t="shared" si="18"/>
        <v>2023-03</v>
      </c>
    </row>
    <row r="636" spans="1:6" x14ac:dyDescent="0.2">
      <c r="A636" s="2">
        <v>45012</v>
      </c>
      <c r="B636" s="1" t="s">
        <v>298</v>
      </c>
      <c r="C636" s="1" t="s">
        <v>297</v>
      </c>
      <c r="D636" s="4">
        <v>1200</v>
      </c>
      <c r="E636" t="str">
        <f t="shared" si="19"/>
        <v>Direct</v>
      </c>
      <c r="F636" s="13" t="str">
        <f t="shared" si="18"/>
        <v>2023-03</v>
      </c>
    </row>
    <row r="637" spans="1:6" x14ac:dyDescent="0.2">
      <c r="A637" s="2">
        <v>45012</v>
      </c>
      <c r="B637" s="1" t="s">
        <v>9</v>
      </c>
      <c r="C637" s="1" t="s">
        <v>297</v>
      </c>
      <c r="D637" s="4">
        <v>240</v>
      </c>
      <c r="E637" t="str">
        <f t="shared" si="19"/>
        <v>Direct</v>
      </c>
      <c r="F637" s="13" t="str">
        <f t="shared" si="18"/>
        <v>2023-03</v>
      </c>
    </row>
    <row r="638" spans="1:6" x14ac:dyDescent="0.2">
      <c r="A638" s="2">
        <v>45012</v>
      </c>
      <c r="B638" s="1" t="s">
        <v>154</v>
      </c>
      <c r="C638" s="1" t="s">
        <v>994</v>
      </c>
      <c r="D638" s="4">
        <v>2600</v>
      </c>
      <c r="E638" t="str">
        <f t="shared" si="19"/>
        <v>Shared</v>
      </c>
      <c r="F638" s="13" t="str">
        <f t="shared" si="18"/>
        <v>2023-03</v>
      </c>
    </row>
    <row r="639" spans="1:6" x14ac:dyDescent="0.2">
      <c r="A639" s="2">
        <v>45014</v>
      </c>
      <c r="B639" s="1" t="s">
        <v>298</v>
      </c>
      <c r="C639" s="1" t="s">
        <v>295</v>
      </c>
      <c r="D639" s="4">
        <v>1200</v>
      </c>
      <c r="E639" t="str">
        <f t="shared" si="19"/>
        <v>Direct</v>
      </c>
      <c r="F639" s="13" t="str">
        <f t="shared" si="18"/>
        <v>2023-03</v>
      </c>
    </row>
    <row r="640" spans="1:6" x14ac:dyDescent="0.2">
      <c r="A640" s="2">
        <v>45014</v>
      </c>
      <c r="B640" s="1" t="s">
        <v>9</v>
      </c>
      <c r="C640" s="1" t="s">
        <v>295</v>
      </c>
      <c r="D640" s="4">
        <v>240</v>
      </c>
      <c r="E640" t="str">
        <f t="shared" si="19"/>
        <v>Direct</v>
      </c>
      <c r="F640" s="13" t="str">
        <f t="shared" si="18"/>
        <v>2023-03</v>
      </c>
    </row>
    <row r="641" spans="1:6" x14ac:dyDescent="0.2">
      <c r="A641" s="2">
        <v>45015</v>
      </c>
      <c r="B641" s="1" t="s">
        <v>155</v>
      </c>
      <c r="C641" s="1" t="s">
        <v>994</v>
      </c>
      <c r="D641" s="4">
        <v>730</v>
      </c>
      <c r="E641" t="str">
        <f t="shared" si="19"/>
        <v>Shared</v>
      </c>
      <c r="F641" s="13" t="str">
        <f t="shared" si="18"/>
        <v>2023-03</v>
      </c>
    </row>
    <row r="642" spans="1:6" x14ac:dyDescent="0.2">
      <c r="A642" s="2">
        <v>45015</v>
      </c>
      <c r="B642" s="1" t="s">
        <v>441</v>
      </c>
      <c r="C642" s="1" t="s">
        <v>297</v>
      </c>
      <c r="D642" s="4">
        <v>2500</v>
      </c>
      <c r="E642" t="str">
        <f t="shared" si="19"/>
        <v>Direct</v>
      </c>
      <c r="F642" s="13" t="str">
        <f t="shared" ref="F642:F705" si="20">YEAR(A642)&amp;"-"&amp;TEXT(MONTH(A642),"00")</f>
        <v>2023-03</v>
      </c>
    </row>
    <row r="643" spans="1:6" x14ac:dyDescent="0.2">
      <c r="A643" s="2">
        <v>45015</v>
      </c>
      <c r="B643" s="1" t="s">
        <v>156</v>
      </c>
      <c r="C643" s="1" t="s">
        <v>994</v>
      </c>
      <c r="D643" s="4">
        <v>900</v>
      </c>
      <c r="E643" t="str">
        <f t="shared" ref="E643:E706" si="21">IF(OR(C643="A302", C643="B303", C643="C301"), "Direct", "Shared")</f>
        <v>Shared</v>
      </c>
      <c r="F643" s="13" t="str">
        <f t="shared" si="20"/>
        <v>2023-03</v>
      </c>
    </row>
    <row r="644" spans="1:6" x14ac:dyDescent="0.2">
      <c r="A644" s="2">
        <v>45015</v>
      </c>
      <c r="B644" s="1" t="s">
        <v>442</v>
      </c>
      <c r="C644" s="1" t="s">
        <v>297</v>
      </c>
      <c r="D644" s="4">
        <v>1000</v>
      </c>
      <c r="E644" t="str">
        <f t="shared" si="21"/>
        <v>Direct</v>
      </c>
      <c r="F644" s="13" t="str">
        <f t="shared" si="20"/>
        <v>2023-03</v>
      </c>
    </row>
    <row r="645" spans="1:6" x14ac:dyDescent="0.2">
      <c r="A645" s="2">
        <v>45016</v>
      </c>
      <c r="B645" s="1" t="s">
        <v>157</v>
      </c>
      <c r="C645" s="1" t="s">
        <v>994</v>
      </c>
      <c r="D645" s="4">
        <v>260</v>
      </c>
      <c r="E645" t="str">
        <f t="shared" si="21"/>
        <v>Shared</v>
      </c>
      <c r="F645" s="13" t="str">
        <f t="shared" si="20"/>
        <v>2023-03</v>
      </c>
    </row>
    <row r="646" spans="1:6" x14ac:dyDescent="0.2">
      <c r="A646" s="2">
        <v>45022</v>
      </c>
      <c r="B646" s="1" t="s">
        <v>443</v>
      </c>
      <c r="C646" s="1" t="s">
        <v>296</v>
      </c>
      <c r="D646" s="4">
        <v>300</v>
      </c>
      <c r="E646" t="str">
        <f t="shared" si="21"/>
        <v>Direct</v>
      </c>
      <c r="F646" s="13" t="str">
        <f t="shared" si="20"/>
        <v>2023-04</v>
      </c>
    </row>
    <row r="647" spans="1:6" x14ac:dyDescent="0.2">
      <c r="A647" s="2">
        <v>45022</v>
      </c>
      <c r="B647" s="1" t="s">
        <v>444</v>
      </c>
      <c r="C647" s="1" t="s">
        <v>296</v>
      </c>
      <c r="D647" s="4">
        <v>700</v>
      </c>
      <c r="E647" t="str">
        <f t="shared" si="21"/>
        <v>Direct</v>
      </c>
      <c r="F647" s="13" t="str">
        <f t="shared" si="20"/>
        <v>2023-04</v>
      </c>
    </row>
    <row r="648" spans="1:6" x14ac:dyDescent="0.2">
      <c r="A648" s="2">
        <v>45023</v>
      </c>
      <c r="B648" s="1" t="s">
        <v>298</v>
      </c>
      <c r="C648" s="1" t="s">
        <v>297</v>
      </c>
      <c r="D648" s="4">
        <v>1200</v>
      </c>
      <c r="E648" t="str">
        <f t="shared" si="21"/>
        <v>Direct</v>
      </c>
      <c r="F648" s="13" t="str">
        <f t="shared" si="20"/>
        <v>2023-04</v>
      </c>
    </row>
    <row r="649" spans="1:6" x14ac:dyDescent="0.2">
      <c r="A649" s="2">
        <v>45023</v>
      </c>
      <c r="B649" s="1" t="s">
        <v>9</v>
      </c>
      <c r="C649" s="1" t="s">
        <v>297</v>
      </c>
      <c r="D649" s="4">
        <v>260</v>
      </c>
      <c r="E649" t="str">
        <f t="shared" si="21"/>
        <v>Direct</v>
      </c>
      <c r="F649" s="13" t="str">
        <f t="shared" si="20"/>
        <v>2023-04</v>
      </c>
    </row>
    <row r="650" spans="1:6" x14ac:dyDescent="0.2">
      <c r="A650" s="2">
        <v>45027</v>
      </c>
      <c r="B650" s="1" t="s">
        <v>314</v>
      </c>
      <c r="C650" s="1" t="s">
        <v>295</v>
      </c>
      <c r="D650" s="4">
        <v>2000</v>
      </c>
      <c r="E650" t="str">
        <f t="shared" si="21"/>
        <v>Direct</v>
      </c>
      <c r="F650" s="13" t="str">
        <f t="shared" si="20"/>
        <v>2023-04</v>
      </c>
    </row>
    <row r="651" spans="1:6" x14ac:dyDescent="0.2">
      <c r="A651" s="2">
        <v>45027</v>
      </c>
      <c r="B651" s="1" t="s">
        <v>314</v>
      </c>
      <c r="C651" s="1" t="s">
        <v>297</v>
      </c>
      <c r="D651" s="4">
        <v>2000</v>
      </c>
      <c r="E651" t="str">
        <f t="shared" si="21"/>
        <v>Direct</v>
      </c>
      <c r="F651" s="13" t="str">
        <f t="shared" si="20"/>
        <v>2023-04</v>
      </c>
    </row>
    <row r="652" spans="1:6" x14ac:dyDescent="0.2">
      <c r="A652" s="2">
        <v>45027</v>
      </c>
      <c r="B652" s="1" t="s">
        <v>9</v>
      </c>
      <c r="C652" s="1" t="s">
        <v>295</v>
      </c>
      <c r="D652" s="4">
        <v>280</v>
      </c>
      <c r="E652" t="str">
        <f t="shared" si="21"/>
        <v>Direct</v>
      </c>
      <c r="F652" s="13" t="str">
        <f t="shared" si="20"/>
        <v>2023-04</v>
      </c>
    </row>
    <row r="653" spans="1:6" x14ac:dyDescent="0.2">
      <c r="A653" s="2">
        <v>45027</v>
      </c>
      <c r="B653" s="1" t="s">
        <v>9</v>
      </c>
      <c r="C653" s="1" t="s">
        <v>297</v>
      </c>
      <c r="D653" s="4">
        <v>320</v>
      </c>
      <c r="E653" t="str">
        <f t="shared" si="21"/>
        <v>Direct</v>
      </c>
      <c r="F653" s="13" t="str">
        <f t="shared" si="20"/>
        <v>2023-04</v>
      </c>
    </row>
    <row r="654" spans="1:6" x14ac:dyDescent="0.2">
      <c r="A654" s="2">
        <v>45027</v>
      </c>
      <c r="B654" s="1" t="s">
        <v>445</v>
      </c>
      <c r="C654" s="1" t="s">
        <v>295</v>
      </c>
      <c r="D654" s="4">
        <v>1100</v>
      </c>
      <c r="E654" t="str">
        <f t="shared" si="21"/>
        <v>Direct</v>
      </c>
      <c r="F654" s="13" t="str">
        <f t="shared" si="20"/>
        <v>2023-04</v>
      </c>
    </row>
    <row r="655" spans="1:6" x14ac:dyDescent="0.2">
      <c r="A655" s="2">
        <v>45028</v>
      </c>
      <c r="B655" s="1" t="s">
        <v>5</v>
      </c>
      <c r="C655" s="1" t="s">
        <v>994</v>
      </c>
      <c r="D655" s="4">
        <v>1562</v>
      </c>
      <c r="E655" t="str">
        <f t="shared" si="21"/>
        <v>Shared</v>
      </c>
      <c r="F655" s="13" t="str">
        <f t="shared" si="20"/>
        <v>2023-04</v>
      </c>
    </row>
    <row r="656" spans="1:6" x14ac:dyDescent="0.2">
      <c r="A656" s="2">
        <v>45029</v>
      </c>
      <c r="B656" s="1" t="s">
        <v>158</v>
      </c>
      <c r="C656" s="1" t="s">
        <v>994</v>
      </c>
      <c r="D656" s="4">
        <v>50</v>
      </c>
      <c r="E656" t="str">
        <f t="shared" si="21"/>
        <v>Shared</v>
      </c>
      <c r="F656" s="13" t="str">
        <f t="shared" si="20"/>
        <v>2023-04</v>
      </c>
    </row>
    <row r="657" spans="1:6" x14ac:dyDescent="0.2">
      <c r="A657" s="2">
        <v>45029</v>
      </c>
      <c r="B657" s="1" t="s">
        <v>139</v>
      </c>
      <c r="C657" s="1" t="s">
        <v>994</v>
      </c>
      <c r="D657" s="4">
        <v>1500</v>
      </c>
      <c r="E657" t="str">
        <f t="shared" si="21"/>
        <v>Shared</v>
      </c>
      <c r="F657" s="13" t="str">
        <f t="shared" si="20"/>
        <v>2023-04</v>
      </c>
    </row>
    <row r="658" spans="1:6" x14ac:dyDescent="0.2">
      <c r="A658" s="2">
        <v>45029</v>
      </c>
      <c r="B658" s="1" t="s">
        <v>446</v>
      </c>
      <c r="C658" s="1" t="s">
        <v>295</v>
      </c>
      <c r="D658" s="4">
        <v>300</v>
      </c>
      <c r="E658" t="str">
        <f t="shared" si="21"/>
        <v>Direct</v>
      </c>
      <c r="F658" s="13" t="str">
        <f t="shared" si="20"/>
        <v>2023-04</v>
      </c>
    </row>
    <row r="659" spans="1:6" x14ac:dyDescent="0.2">
      <c r="A659" s="2">
        <v>45033</v>
      </c>
      <c r="B659" s="1" t="s">
        <v>447</v>
      </c>
      <c r="C659" s="1" t="s">
        <v>296</v>
      </c>
      <c r="D659" s="4">
        <v>750</v>
      </c>
      <c r="E659" t="str">
        <f t="shared" si="21"/>
        <v>Direct</v>
      </c>
      <c r="F659" s="13" t="str">
        <f t="shared" si="20"/>
        <v>2023-04</v>
      </c>
    </row>
    <row r="660" spans="1:6" x14ac:dyDescent="0.2">
      <c r="A660" s="2">
        <v>45033</v>
      </c>
      <c r="B660" s="1" t="s">
        <v>159</v>
      </c>
      <c r="C660" s="1" t="s">
        <v>994</v>
      </c>
      <c r="D660" s="4">
        <v>100</v>
      </c>
      <c r="E660" t="str">
        <f t="shared" si="21"/>
        <v>Shared</v>
      </c>
      <c r="F660" s="13" t="str">
        <f t="shared" si="20"/>
        <v>2023-04</v>
      </c>
    </row>
    <row r="661" spans="1:6" x14ac:dyDescent="0.2">
      <c r="A661" s="2">
        <v>45033</v>
      </c>
      <c r="B661" s="1" t="s">
        <v>160</v>
      </c>
      <c r="C661" s="1" t="s">
        <v>994</v>
      </c>
      <c r="D661" s="4">
        <v>400</v>
      </c>
      <c r="E661" t="str">
        <f t="shared" si="21"/>
        <v>Shared</v>
      </c>
      <c r="F661" s="13" t="str">
        <f t="shared" si="20"/>
        <v>2023-04</v>
      </c>
    </row>
    <row r="662" spans="1:6" x14ac:dyDescent="0.2">
      <c r="A662" s="2">
        <v>45033</v>
      </c>
      <c r="B662" s="1" t="s">
        <v>448</v>
      </c>
      <c r="C662" s="1" t="s">
        <v>297</v>
      </c>
      <c r="D662" s="4">
        <v>500</v>
      </c>
      <c r="E662" t="str">
        <f t="shared" si="21"/>
        <v>Direct</v>
      </c>
      <c r="F662" s="13" t="str">
        <f t="shared" si="20"/>
        <v>2023-04</v>
      </c>
    </row>
    <row r="663" spans="1:6" x14ac:dyDescent="0.2">
      <c r="A663" s="2">
        <v>45033</v>
      </c>
      <c r="B663" s="1" t="s">
        <v>449</v>
      </c>
      <c r="C663" s="1" t="s">
        <v>297</v>
      </c>
      <c r="D663" s="4">
        <v>150</v>
      </c>
      <c r="E663" t="str">
        <f t="shared" si="21"/>
        <v>Direct</v>
      </c>
      <c r="F663" s="13" t="str">
        <f t="shared" si="20"/>
        <v>2023-04</v>
      </c>
    </row>
    <row r="664" spans="1:6" x14ac:dyDescent="0.2">
      <c r="A664" s="2">
        <v>45033</v>
      </c>
      <c r="B664" s="1" t="s">
        <v>985</v>
      </c>
      <c r="C664" s="1" t="s">
        <v>296</v>
      </c>
      <c r="D664" s="4">
        <v>17000</v>
      </c>
      <c r="E664" t="str">
        <f t="shared" si="21"/>
        <v>Direct</v>
      </c>
      <c r="F664" s="13" t="str">
        <f t="shared" si="20"/>
        <v>2023-04</v>
      </c>
    </row>
    <row r="665" spans="1:6" x14ac:dyDescent="0.2">
      <c r="A665" s="2">
        <v>45033</v>
      </c>
      <c r="B665" s="1" t="s">
        <v>985</v>
      </c>
      <c r="C665" s="1" t="s">
        <v>295</v>
      </c>
      <c r="D665" s="4">
        <v>22000</v>
      </c>
      <c r="E665" t="str">
        <f t="shared" si="21"/>
        <v>Direct</v>
      </c>
      <c r="F665" s="13" t="str">
        <f t="shared" si="20"/>
        <v>2023-04</v>
      </c>
    </row>
    <row r="666" spans="1:6" x14ac:dyDescent="0.2">
      <c r="A666" s="2">
        <v>45033</v>
      </c>
      <c r="B666" s="1" t="s">
        <v>985</v>
      </c>
      <c r="C666" s="1" t="s">
        <v>297</v>
      </c>
      <c r="D666" s="4">
        <v>22000</v>
      </c>
      <c r="E666" t="str">
        <f t="shared" si="21"/>
        <v>Direct</v>
      </c>
      <c r="F666" s="13" t="str">
        <f t="shared" si="20"/>
        <v>2023-04</v>
      </c>
    </row>
    <row r="667" spans="1:6" x14ac:dyDescent="0.2">
      <c r="A667" s="2">
        <v>45035</v>
      </c>
      <c r="B667" s="1" t="s">
        <v>1038</v>
      </c>
      <c r="C667" s="1" t="s">
        <v>295</v>
      </c>
      <c r="D667" s="4">
        <v>900</v>
      </c>
      <c r="E667" t="str">
        <f t="shared" si="21"/>
        <v>Direct</v>
      </c>
      <c r="F667" s="13" t="str">
        <f t="shared" si="20"/>
        <v>2023-04</v>
      </c>
    </row>
    <row r="668" spans="1:6" x14ac:dyDescent="0.2">
      <c r="A668" s="2">
        <v>45036</v>
      </c>
      <c r="B668" s="1" t="s">
        <v>450</v>
      </c>
      <c r="C668" s="1" t="s">
        <v>295</v>
      </c>
      <c r="D668" s="4">
        <v>2000</v>
      </c>
      <c r="E668" t="str">
        <f t="shared" si="21"/>
        <v>Direct</v>
      </c>
      <c r="F668" s="13" t="str">
        <f t="shared" si="20"/>
        <v>2023-04</v>
      </c>
    </row>
    <row r="669" spans="1:6" x14ac:dyDescent="0.2">
      <c r="A669" s="2">
        <v>45036</v>
      </c>
      <c r="B669" s="1" t="s">
        <v>450</v>
      </c>
      <c r="C669" s="1" t="s">
        <v>297</v>
      </c>
      <c r="D669" s="4">
        <v>2000</v>
      </c>
      <c r="E669" t="str">
        <f t="shared" si="21"/>
        <v>Direct</v>
      </c>
      <c r="F669" s="13" t="str">
        <f t="shared" si="20"/>
        <v>2023-04</v>
      </c>
    </row>
    <row r="670" spans="1:6" x14ac:dyDescent="0.2">
      <c r="A670" s="2">
        <v>45036</v>
      </c>
      <c r="B670" s="1" t="s">
        <v>9</v>
      </c>
      <c r="C670" s="1" t="s">
        <v>295</v>
      </c>
      <c r="D670" s="4">
        <v>100</v>
      </c>
      <c r="E670" t="str">
        <f t="shared" si="21"/>
        <v>Direct</v>
      </c>
      <c r="F670" s="13" t="str">
        <f t="shared" si="20"/>
        <v>2023-04</v>
      </c>
    </row>
    <row r="671" spans="1:6" x14ac:dyDescent="0.2">
      <c r="A671" s="2">
        <v>45036</v>
      </c>
      <c r="B671" s="1" t="s">
        <v>9</v>
      </c>
      <c r="C671" s="1" t="s">
        <v>297</v>
      </c>
      <c r="D671" s="4">
        <v>250</v>
      </c>
      <c r="E671" t="str">
        <f t="shared" si="21"/>
        <v>Direct</v>
      </c>
      <c r="F671" s="13" t="str">
        <f t="shared" si="20"/>
        <v>2023-04</v>
      </c>
    </row>
    <row r="672" spans="1:6" x14ac:dyDescent="0.2">
      <c r="A672" s="2">
        <v>45036</v>
      </c>
      <c r="B672" s="1" t="s">
        <v>451</v>
      </c>
      <c r="C672" s="1" t="s">
        <v>297</v>
      </c>
      <c r="D672" s="4">
        <v>350</v>
      </c>
      <c r="E672" t="str">
        <f t="shared" si="21"/>
        <v>Direct</v>
      </c>
      <c r="F672" s="13" t="str">
        <f t="shared" si="20"/>
        <v>2023-04</v>
      </c>
    </row>
    <row r="673" spans="1:6" x14ac:dyDescent="0.2">
      <c r="A673" s="2">
        <v>45045</v>
      </c>
      <c r="B673" s="1" t="s">
        <v>452</v>
      </c>
      <c r="C673" s="1" t="s">
        <v>295</v>
      </c>
      <c r="D673" s="4">
        <v>1200</v>
      </c>
      <c r="E673" t="str">
        <f t="shared" si="21"/>
        <v>Direct</v>
      </c>
      <c r="F673" s="13" t="str">
        <f t="shared" si="20"/>
        <v>2023-04</v>
      </c>
    </row>
    <row r="674" spans="1:6" x14ac:dyDescent="0.2">
      <c r="A674" s="2">
        <v>45045</v>
      </c>
      <c r="B674" s="1" t="s">
        <v>452</v>
      </c>
      <c r="C674" s="1" t="s">
        <v>296</v>
      </c>
      <c r="D674" s="4">
        <v>1200</v>
      </c>
      <c r="E674" t="str">
        <f t="shared" si="21"/>
        <v>Direct</v>
      </c>
      <c r="F674" s="13" t="str">
        <f t="shared" si="20"/>
        <v>2023-04</v>
      </c>
    </row>
    <row r="675" spans="1:6" x14ac:dyDescent="0.2">
      <c r="A675" s="2">
        <v>45045</v>
      </c>
      <c r="B675" s="1" t="s">
        <v>453</v>
      </c>
      <c r="C675" s="1" t="s">
        <v>295</v>
      </c>
      <c r="D675" s="4">
        <v>250</v>
      </c>
      <c r="E675" t="str">
        <f t="shared" si="21"/>
        <v>Direct</v>
      </c>
      <c r="F675" s="13" t="str">
        <f t="shared" si="20"/>
        <v>2023-04</v>
      </c>
    </row>
    <row r="676" spans="1:6" x14ac:dyDescent="0.2">
      <c r="A676" s="2">
        <v>45045</v>
      </c>
      <c r="B676" s="1" t="s">
        <v>453</v>
      </c>
      <c r="C676" s="1" t="s">
        <v>296</v>
      </c>
      <c r="D676" s="4">
        <v>250</v>
      </c>
      <c r="E676" t="str">
        <f t="shared" si="21"/>
        <v>Direct</v>
      </c>
      <c r="F676" s="13" t="str">
        <f t="shared" si="20"/>
        <v>2023-04</v>
      </c>
    </row>
    <row r="677" spans="1:6" x14ac:dyDescent="0.2">
      <c r="A677" s="2">
        <v>45048</v>
      </c>
      <c r="B677" s="1" t="s">
        <v>161</v>
      </c>
      <c r="C677" s="1" t="s">
        <v>994</v>
      </c>
      <c r="D677" s="4">
        <v>2550</v>
      </c>
      <c r="E677" t="str">
        <f t="shared" si="21"/>
        <v>Shared</v>
      </c>
      <c r="F677" s="13" t="str">
        <f t="shared" si="20"/>
        <v>2023-05</v>
      </c>
    </row>
    <row r="678" spans="1:6" x14ac:dyDescent="0.2">
      <c r="A678" s="2">
        <v>45049</v>
      </c>
      <c r="B678" s="1" t="s">
        <v>389</v>
      </c>
      <c r="C678" s="1" t="s">
        <v>297</v>
      </c>
      <c r="D678" s="4">
        <v>300</v>
      </c>
      <c r="E678" t="str">
        <f t="shared" si="21"/>
        <v>Direct</v>
      </c>
      <c r="F678" s="13" t="str">
        <f t="shared" si="20"/>
        <v>2023-05</v>
      </c>
    </row>
    <row r="679" spans="1:6" x14ac:dyDescent="0.2">
      <c r="A679" s="2">
        <v>45055</v>
      </c>
      <c r="B679" s="1" t="s">
        <v>363</v>
      </c>
      <c r="C679" s="1" t="s">
        <v>297</v>
      </c>
      <c r="D679" s="4">
        <v>700</v>
      </c>
      <c r="E679" t="str">
        <f t="shared" si="21"/>
        <v>Direct</v>
      </c>
      <c r="F679" s="13" t="str">
        <f t="shared" si="20"/>
        <v>2023-05</v>
      </c>
    </row>
    <row r="680" spans="1:6" x14ac:dyDescent="0.2">
      <c r="A680" s="2">
        <v>45055</v>
      </c>
      <c r="B680" s="1" t="s">
        <v>366</v>
      </c>
      <c r="C680" s="1" t="s">
        <v>297</v>
      </c>
      <c r="D680" s="4">
        <v>200</v>
      </c>
      <c r="E680" t="str">
        <f t="shared" si="21"/>
        <v>Direct</v>
      </c>
      <c r="F680" s="13" t="str">
        <f t="shared" si="20"/>
        <v>2023-05</v>
      </c>
    </row>
    <row r="681" spans="1:6" x14ac:dyDescent="0.2">
      <c r="A681" s="2">
        <v>45055</v>
      </c>
      <c r="B681" s="1" t="s">
        <v>162</v>
      </c>
      <c r="C681" s="1" t="s">
        <v>994</v>
      </c>
      <c r="D681" s="4">
        <v>600</v>
      </c>
      <c r="E681" t="str">
        <f t="shared" si="21"/>
        <v>Shared</v>
      </c>
      <c r="F681" s="13" t="str">
        <f t="shared" si="20"/>
        <v>2023-05</v>
      </c>
    </row>
    <row r="682" spans="1:6" x14ac:dyDescent="0.2">
      <c r="A682" s="2">
        <v>45055</v>
      </c>
      <c r="B682" s="1" t="s">
        <v>5</v>
      </c>
      <c r="C682" s="1" t="s">
        <v>994</v>
      </c>
      <c r="D682" s="4">
        <v>1000</v>
      </c>
      <c r="E682" t="str">
        <f t="shared" si="21"/>
        <v>Shared</v>
      </c>
      <c r="F682" s="13" t="str">
        <f t="shared" si="20"/>
        <v>2023-05</v>
      </c>
    </row>
    <row r="683" spans="1:6" x14ac:dyDescent="0.2">
      <c r="A683" s="2">
        <v>45056</v>
      </c>
      <c r="B683" s="1" t="s">
        <v>454</v>
      </c>
      <c r="C683" s="1" t="s">
        <v>295</v>
      </c>
      <c r="D683" s="4">
        <v>2160</v>
      </c>
      <c r="E683" t="str">
        <f t="shared" si="21"/>
        <v>Direct</v>
      </c>
      <c r="F683" s="13" t="str">
        <f t="shared" si="20"/>
        <v>2023-05</v>
      </c>
    </row>
    <row r="684" spans="1:6" x14ac:dyDescent="0.2">
      <c r="A684" s="2">
        <v>45056</v>
      </c>
      <c r="B684" s="1" t="s">
        <v>163</v>
      </c>
      <c r="C684" s="1" t="s">
        <v>994</v>
      </c>
      <c r="D684" s="4">
        <v>600</v>
      </c>
      <c r="E684" t="str">
        <f t="shared" si="21"/>
        <v>Shared</v>
      </c>
      <c r="F684" s="13" t="str">
        <f t="shared" si="20"/>
        <v>2023-05</v>
      </c>
    </row>
    <row r="685" spans="1:6" x14ac:dyDescent="0.2">
      <c r="A685" s="2">
        <v>45056</v>
      </c>
      <c r="B685" s="1" t="s">
        <v>164</v>
      </c>
      <c r="C685" s="1" t="s">
        <v>994</v>
      </c>
      <c r="D685" s="4">
        <v>250</v>
      </c>
      <c r="E685" t="str">
        <f t="shared" si="21"/>
        <v>Shared</v>
      </c>
      <c r="F685" s="13" t="str">
        <f t="shared" si="20"/>
        <v>2023-05</v>
      </c>
    </row>
    <row r="686" spans="1:6" x14ac:dyDescent="0.2">
      <c r="A686" s="2">
        <v>45056</v>
      </c>
      <c r="B686" s="1" t="s">
        <v>985</v>
      </c>
      <c r="C686" s="1" t="s">
        <v>295</v>
      </c>
      <c r="D686" s="4">
        <v>38850</v>
      </c>
      <c r="E686" t="str">
        <f t="shared" si="21"/>
        <v>Direct</v>
      </c>
      <c r="F686" s="13" t="str">
        <f t="shared" si="20"/>
        <v>2023-05</v>
      </c>
    </row>
    <row r="687" spans="1:6" x14ac:dyDescent="0.2">
      <c r="A687" s="2">
        <v>45056</v>
      </c>
      <c r="B687" s="1" t="s">
        <v>985</v>
      </c>
      <c r="C687" s="1" t="s">
        <v>296</v>
      </c>
      <c r="D687" s="4">
        <v>19800</v>
      </c>
      <c r="E687" t="str">
        <f t="shared" si="21"/>
        <v>Direct</v>
      </c>
      <c r="F687" s="13" t="str">
        <f t="shared" si="20"/>
        <v>2023-05</v>
      </c>
    </row>
    <row r="688" spans="1:6" x14ac:dyDescent="0.2">
      <c r="A688" s="2">
        <v>45056</v>
      </c>
      <c r="B688" s="1" t="s">
        <v>985</v>
      </c>
      <c r="C688" s="1" t="s">
        <v>297</v>
      </c>
      <c r="D688" s="4">
        <v>38850</v>
      </c>
      <c r="E688" t="str">
        <f t="shared" si="21"/>
        <v>Direct</v>
      </c>
      <c r="F688" s="13" t="str">
        <f t="shared" si="20"/>
        <v>2023-05</v>
      </c>
    </row>
    <row r="689" spans="1:6" x14ac:dyDescent="0.2">
      <c r="A689" s="2">
        <v>45058</v>
      </c>
      <c r="B689" s="1" t="s">
        <v>455</v>
      </c>
      <c r="C689" s="1" t="s">
        <v>295</v>
      </c>
      <c r="D689" s="4">
        <v>1300</v>
      </c>
      <c r="E689" t="str">
        <f t="shared" si="21"/>
        <v>Direct</v>
      </c>
      <c r="F689" s="13" t="str">
        <f t="shared" si="20"/>
        <v>2023-05</v>
      </c>
    </row>
    <row r="690" spans="1:6" x14ac:dyDescent="0.2">
      <c r="A690" s="2">
        <v>45058</v>
      </c>
      <c r="B690" s="1" t="s">
        <v>456</v>
      </c>
      <c r="C690" s="1" t="s">
        <v>297</v>
      </c>
      <c r="D690" s="4">
        <v>300</v>
      </c>
      <c r="E690" t="str">
        <f t="shared" si="21"/>
        <v>Direct</v>
      </c>
      <c r="F690" s="13" t="str">
        <f t="shared" si="20"/>
        <v>2023-05</v>
      </c>
    </row>
    <row r="691" spans="1:6" x14ac:dyDescent="0.2">
      <c r="A691" s="2">
        <v>45060</v>
      </c>
      <c r="B691" s="1" t="s">
        <v>165</v>
      </c>
      <c r="C691" s="1" t="s">
        <v>295</v>
      </c>
      <c r="D691" s="4">
        <v>600</v>
      </c>
      <c r="E691" t="str">
        <f t="shared" si="21"/>
        <v>Direct</v>
      </c>
      <c r="F691" s="13" t="str">
        <f t="shared" si="20"/>
        <v>2023-05</v>
      </c>
    </row>
    <row r="692" spans="1:6" x14ac:dyDescent="0.2">
      <c r="A692" s="2">
        <v>45063</v>
      </c>
      <c r="B692" s="1" t="s">
        <v>457</v>
      </c>
      <c r="C692" s="1" t="s">
        <v>297</v>
      </c>
      <c r="D692" s="4">
        <v>1700</v>
      </c>
      <c r="E692" t="str">
        <f t="shared" si="21"/>
        <v>Direct</v>
      </c>
      <c r="F692" s="13" t="str">
        <f t="shared" si="20"/>
        <v>2023-05</v>
      </c>
    </row>
    <row r="693" spans="1:6" x14ac:dyDescent="0.2">
      <c r="A693" s="2">
        <v>45063</v>
      </c>
      <c r="B693" s="1" t="s">
        <v>9</v>
      </c>
      <c r="C693" s="1" t="s">
        <v>297</v>
      </c>
      <c r="D693" s="4">
        <v>340</v>
      </c>
      <c r="E693" t="str">
        <f t="shared" si="21"/>
        <v>Direct</v>
      </c>
      <c r="F693" s="13" t="str">
        <f t="shared" si="20"/>
        <v>2023-05</v>
      </c>
    </row>
    <row r="694" spans="1:6" x14ac:dyDescent="0.2">
      <c r="A694" s="2">
        <v>45063</v>
      </c>
      <c r="B694" s="1" t="s">
        <v>9</v>
      </c>
      <c r="C694" s="1" t="s">
        <v>297</v>
      </c>
      <c r="D694" s="4">
        <v>300</v>
      </c>
      <c r="E694" t="str">
        <f t="shared" si="21"/>
        <v>Direct</v>
      </c>
      <c r="F694" s="13" t="str">
        <f t="shared" si="20"/>
        <v>2023-05</v>
      </c>
    </row>
    <row r="695" spans="1:6" x14ac:dyDescent="0.2">
      <c r="A695" s="2">
        <v>45063</v>
      </c>
      <c r="B695" s="1" t="s">
        <v>164</v>
      </c>
      <c r="C695" s="1" t="s">
        <v>994</v>
      </c>
      <c r="D695" s="4">
        <v>250</v>
      </c>
      <c r="E695" t="str">
        <f t="shared" si="21"/>
        <v>Shared</v>
      </c>
      <c r="F695" s="13" t="str">
        <f t="shared" si="20"/>
        <v>2023-05</v>
      </c>
    </row>
    <row r="696" spans="1:6" x14ac:dyDescent="0.2">
      <c r="A696" s="2">
        <v>45063</v>
      </c>
      <c r="B696" s="1" t="s">
        <v>166</v>
      </c>
      <c r="C696" s="1" t="s">
        <v>994</v>
      </c>
      <c r="D696" s="4">
        <v>5500</v>
      </c>
      <c r="E696" t="str">
        <f t="shared" si="21"/>
        <v>Shared</v>
      </c>
      <c r="F696" s="13" t="str">
        <f t="shared" si="20"/>
        <v>2023-05</v>
      </c>
    </row>
    <row r="697" spans="1:6" x14ac:dyDescent="0.2">
      <c r="A697" s="2">
        <v>45063</v>
      </c>
      <c r="B697" s="1" t="s">
        <v>167</v>
      </c>
      <c r="C697" s="1" t="s">
        <v>994</v>
      </c>
      <c r="D697" s="4">
        <v>1200</v>
      </c>
      <c r="E697" t="str">
        <f t="shared" si="21"/>
        <v>Shared</v>
      </c>
      <c r="F697" s="13" t="str">
        <f t="shared" si="20"/>
        <v>2023-05</v>
      </c>
    </row>
    <row r="698" spans="1:6" x14ac:dyDescent="0.2">
      <c r="A698" s="2">
        <v>45075</v>
      </c>
      <c r="B698" s="1" t="s">
        <v>168</v>
      </c>
      <c r="C698" s="1" t="s">
        <v>994</v>
      </c>
      <c r="D698" s="4">
        <v>500</v>
      </c>
      <c r="E698" t="str">
        <f t="shared" si="21"/>
        <v>Shared</v>
      </c>
      <c r="F698" s="13" t="str">
        <f t="shared" si="20"/>
        <v>2023-05</v>
      </c>
    </row>
    <row r="699" spans="1:6" x14ac:dyDescent="0.2">
      <c r="A699" s="2">
        <v>45077</v>
      </c>
      <c r="B699" s="1" t="s">
        <v>384</v>
      </c>
      <c r="C699" s="1" t="s">
        <v>297</v>
      </c>
      <c r="D699" s="4">
        <v>1100</v>
      </c>
      <c r="E699" t="str">
        <f t="shared" si="21"/>
        <v>Direct</v>
      </c>
      <c r="F699" s="13" t="str">
        <f t="shared" si="20"/>
        <v>2023-05</v>
      </c>
    </row>
    <row r="700" spans="1:6" x14ac:dyDescent="0.2">
      <c r="A700" s="2">
        <v>45089</v>
      </c>
      <c r="B700" s="1" t="s">
        <v>169</v>
      </c>
      <c r="C700" s="1" t="s">
        <v>994</v>
      </c>
      <c r="D700" s="4">
        <v>300</v>
      </c>
      <c r="E700" t="str">
        <f t="shared" si="21"/>
        <v>Shared</v>
      </c>
      <c r="F700" s="13" t="str">
        <f t="shared" si="20"/>
        <v>2023-06</v>
      </c>
    </row>
    <row r="701" spans="1:6" x14ac:dyDescent="0.2">
      <c r="A701" s="2">
        <v>45091</v>
      </c>
      <c r="B701" s="1" t="s">
        <v>458</v>
      </c>
      <c r="C701" s="1" t="s">
        <v>295</v>
      </c>
      <c r="D701" s="4">
        <v>300</v>
      </c>
      <c r="E701" t="str">
        <f t="shared" si="21"/>
        <v>Direct</v>
      </c>
      <c r="F701" s="13" t="str">
        <f t="shared" si="20"/>
        <v>2023-06</v>
      </c>
    </row>
    <row r="702" spans="1:6" x14ac:dyDescent="0.2">
      <c r="A702" s="2">
        <v>45091</v>
      </c>
      <c r="B702" s="1" t="s">
        <v>985</v>
      </c>
      <c r="C702" s="1" t="s">
        <v>296</v>
      </c>
      <c r="D702" s="4">
        <v>30000</v>
      </c>
      <c r="E702" t="str">
        <f t="shared" si="21"/>
        <v>Direct</v>
      </c>
      <c r="F702" s="13" t="str">
        <f t="shared" si="20"/>
        <v>2023-06</v>
      </c>
    </row>
    <row r="703" spans="1:6" x14ac:dyDescent="0.2">
      <c r="A703" s="2">
        <v>45091</v>
      </c>
      <c r="B703" s="1" t="s">
        <v>985</v>
      </c>
      <c r="C703" s="1" t="s">
        <v>295</v>
      </c>
      <c r="D703" s="4">
        <v>25000</v>
      </c>
      <c r="E703" t="str">
        <f t="shared" si="21"/>
        <v>Direct</v>
      </c>
      <c r="F703" s="13" t="str">
        <f t="shared" si="20"/>
        <v>2023-06</v>
      </c>
    </row>
    <row r="704" spans="1:6" x14ac:dyDescent="0.2">
      <c r="A704" s="2">
        <v>45091</v>
      </c>
      <c r="B704" s="1" t="s">
        <v>985</v>
      </c>
      <c r="C704" s="1" t="s">
        <v>297</v>
      </c>
      <c r="D704" s="4">
        <v>25000</v>
      </c>
      <c r="E704" t="str">
        <f t="shared" si="21"/>
        <v>Direct</v>
      </c>
      <c r="F704" s="13" t="str">
        <f t="shared" si="20"/>
        <v>2023-06</v>
      </c>
    </row>
    <row r="705" spans="1:6" x14ac:dyDescent="0.2">
      <c r="A705" s="2">
        <v>45097</v>
      </c>
      <c r="B705" s="1" t="s">
        <v>373</v>
      </c>
      <c r="C705" s="1" t="s">
        <v>297</v>
      </c>
      <c r="D705" s="4">
        <v>200</v>
      </c>
      <c r="E705" t="str">
        <f t="shared" si="21"/>
        <v>Direct</v>
      </c>
      <c r="F705" s="13" t="str">
        <f t="shared" si="20"/>
        <v>2023-06</v>
      </c>
    </row>
    <row r="706" spans="1:6" x14ac:dyDescent="0.2">
      <c r="A706" s="2">
        <v>45097</v>
      </c>
      <c r="B706" s="1" t="s">
        <v>170</v>
      </c>
      <c r="C706" s="1" t="s">
        <v>994</v>
      </c>
      <c r="D706" s="4">
        <v>4700</v>
      </c>
      <c r="E706" t="str">
        <f t="shared" si="21"/>
        <v>Shared</v>
      </c>
      <c r="F706" s="13" t="str">
        <f t="shared" ref="F706:F769" si="22">YEAR(A706)&amp;"-"&amp;TEXT(MONTH(A706),"00")</f>
        <v>2023-06</v>
      </c>
    </row>
    <row r="707" spans="1:6" x14ac:dyDescent="0.2">
      <c r="A707" s="2">
        <v>45098</v>
      </c>
      <c r="B707" s="1" t="s">
        <v>373</v>
      </c>
      <c r="C707" s="1" t="s">
        <v>296</v>
      </c>
      <c r="D707" s="4">
        <v>200</v>
      </c>
      <c r="E707" t="str">
        <f t="shared" ref="E707:E770" si="23">IF(OR(C707="A302", C707="B303", C707="C301"), "Direct", "Shared")</f>
        <v>Direct</v>
      </c>
      <c r="F707" s="13" t="str">
        <f t="shared" si="22"/>
        <v>2023-06</v>
      </c>
    </row>
    <row r="708" spans="1:6" x14ac:dyDescent="0.2">
      <c r="A708" s="2">
        <v>45098</v>
      </c>
      <c r="B708" s="1" t="s">
        <v>389</v>
      </c>
      <c r="C708" s="1" t="s">
        <v>295</v>
      </c>
      <c r="D708" s="4">
        <v>200</v>
      </c>
      <c r="E708" t="str">
        <f t="shared" si="23"/>
        <v>Direct</v>
      </c>
      <c r="F708" s="13" t="str">
        <f t="shared" si="22"/>
        <v>2023-06</v>
      </c>
    </row>
    <row r="709" spans="1:6" x14ac:dyDescent="0.2">
      <c r="A709" s="2">
        <v>45098</v>
      </c>
      <c r="B709" s="1" t="s">
        <v>459</v>
      </c>
      <c r="C709" s="1" t="s">
        <v>296</v>
      </c>
      <c r="D709" s="4">
        <v>600</v>
      </c>
      <c r="E709" t="str">
        <f t="shared" si="23"/>
        <v>Direct</v>
      </c>
      <c r="F709" s="13" t="str">
        <f t="shared" si="22"/>
        <v>2023-06</v>
      </c>
    </row>
    <row r="710" spans="1:6" x14ac:dyDescent="0.2">
      <c r="A710" s="2">
        <v>45098</v>
      </c>
      <c r="B710" s="1" t="s">
        <v>460</v>
      </c>
      <c r="C710" s="1" t="s">
        <v>296</v>
      </c>
      <c r="D710" s="4">
        <v>800</v>
      </c>
      <c r="E710" t="str">
        <f t="shared" si="23"/>
        <v>Direct</v>
      </c>
      <c r="F710" s="13" t="str">
        <f t="shared" si="22"/>
        <v>2023-06</v>
      </c>
    </row>
    <row r="711" spans="1:6" x14ac:dyDescent="0.2">
      <c r="A711" s="2">
        <v>45100</v>
      </c>
      <c r="B711" s="1" t="s">
        <v>463</v>
      </c>
      <c r="C711" s="1" t="s">
        <v>297</v>
      </c>
      <c r="D711" s="4">
        <v>400</v>
      </c>
      <c r="E711" t="str">
        <f t="shared" si="23"/>
        <v>Direct</v>
      </c>
      <c r="F711" s="13" t="str">
        <f t="shared" si="22"/>
        <v>2023-06</v>
      </c>
    </row>
    <row r="712" spans="1:6" x14ac:dyDescent="0.2">
      <c r="A712" s="2">
        <v>45101</v>
      </c>
      <c r="B712" s="1" t="s">
        <v>461</v>
      </c>
      <c r="C712" s="1" t="s">
        <v>296</v>
      </c>
      <c r="D712" s="4">
        <v>400</v>
      </c>
      <c r="E712" t="str">
        <f t="shared" si="23"/>
        <v>Direct</v>
      </c>
      <c r="F712" s="13" t="str">
        <f t="shared" si="22"/>
        <v>2023-06</v>
      </c>
    </row>
    <row r="713" spans="1:6" x14ac:dyDescent="0.2">
      <c r="A713" s="2">
        <v>45101</v>
      </c>
      <c r="B713" s="1" t="s">
        <v>1039</v>
      </c>
      <c r="C713" s="1" t="s">
        <v>296</v>
      </c>
      <c r="D713" s="4">
        <v>400</v>
      </c>
      <c r="E713" t="str">
        <f t="shared" si="23"/>
        <v>Direct</v>
      </c>
      <c r="F713" s="13" t="str">
        <f t="shared" si="22"/>
        <v>2023-06</v>
      </c>
    </row>
    <row r="714" spans="1:6" x14ac:dyDescent="0.2">
      <c r="A714" s="2">
        <v>45101</v>
      </c>
      <c r="B714" s="1" t="s">
        <v>462</v>
      </c>
      <c r="C714" s="1" t="s">
        <v>297</v>
      </c>
      <c r="D714" s="4">
        <v>200</v>
      </c>
      <c r="E714" t="str">
        <f t="shared" si="23"/>
        <v>Direct</v>
      </c>
      <c r="F714" s="13" t="str">
        <f t="shared" si="22"/>
        <v>2023-06</v>
      </c>
    </row>
    <row r="715" spans="1:6" x14ac:dyDescent="0.2">
      <c r="A715" s="2">
        <v>45102</v>
      </c>
      <c r="B715" s="1" t="s">
        <v>298</v>
      </c>
      <c r="C715" s="1" t="s">
        <v>297</v>
      </c>
      <c r="D715" s="4">
        <v>1100</v>
      </c>
      <c r="E715" t="str">
        <f t="shared" si="23"/>
        <v>Direct</v>
      </c>
      <c r="F715" s="13" t="str">
        <f t="shared" si="22"/>
        <v>2023-06</v>
      </c>
    </row>
    <row r="716" spans="1:6" x14ac:dyDescent="0.2">
      <c r="A716" s="2">
        <v>45102</v>
      </c>
      <c r="B716" s="1" t="s">
        <v>9</v>
      </c>
      <c r="C716" s="1" t="s">
        <v>297</v>
      </c>
      <c r="D716" s="4">
        <v>300</v>
      </c>
      <c r="E716" t="str">
        <f t="shared" si="23"/>
        <v>Direct</v>
      </c>
      <c r="F716" s="13" t="str">
        <f t="shared" si="22"/>
        <v>2023-06</v>
      </c>
    </row>
    <row r="717" spans="1:6" x14ac:dyDescent="0.2">
      <c r="A717" s="2">
        <v>45102</v>
      </c>
      <c r="B717" s="1" t="s">
        <v>363</v>
      </c>
      <c r="C717" s="1" t="s">
        <v>295</v>
      </c>
      <c r="D717" s="4">
        <v>700</v>
      </c>
      <c r="E717" t="str">
        <f t="shared" si="23"/>
        <v>Direct</v>
      </c>
      <c r="F717" s="13" t="str">
        <f t="shared" si="22"/>
        <v>2023-06</v>
      </c>
    </row>
    <row r="718" spans="1:6" x14ac:dyDescent="0.2">
      <c r="A718" s="2">
        <v>45102</v>
      </c>
      <c r="B718" s="1" t="s">
        <v>366</v>
      </c>
      <c r="C718" s="1" t="s">
        <v>295</v>
      </c>
      <c r="D718" s="4">
        <v>260</v>
      </c>
      <c r="E718" t="str">
        <f t="shared" si="23"/>
        <v>Direct</v>
      </c>
      <c r="F718" s="13" t="str">
        <f t="shared" si="22"/>
        <v>2023-06</v>
      </c>
    </row>
    <row r="719" spans="1:6" x14ac:dyDescent="0.2">
      <c r="A719" s="2">
        <v>45102</v>
      </c>
      <c r="B719" s="1" t="s">
        <v>163</v>
      </c>
      <c r="C719" s="1" t="s">
        <v>994</v>
      </c>
      <c r="D719" s="4">
        <v>600</v>
      </c>
      <c r="E719" t="str">
        <f t="shared" si="23"/>
        <v>Shared</v>
      </c>
      <c r="F719" s="13" t="str">
        <f t="shared" si="22"/>
        <v>2023-06</v>
      </c>
    </row>
    <row r="720" spans="1:6" x14ac:dyDescent="0.2">
      <c r="A720" s="2">
        <v>45103</v>
      </c>
      <c r="B720" s="1" t="s">
        <v>140</v>
      </c>
      <c r="C720" s="1" t="s">
        <v>994</v>
      </c>
      <c r="D720" s="4">
        <v>200</v>
      </c>
      <c r="E720" t="str">
        <f t="shared" si="23"/>
        <v>Shared</v>
      </c>
      <c r="F720" s="13" t="str">
        <f t="shared" si="22"/>
        <v>2023-06</v>
      </c>
    </row>
    <row r="721" spans="1:6" x14ac:dyDescent="0.2">
      <c r="A721" s="2">
        <v>45103</v>
      </c>
      <c r="B721" s="1" t="s">
        <v>298</v>
      </c>
      <c r="C721" s="1" t="s">
        <v>297</v>
      </c>
      <c r="D721" s="4">
        <v>1100</v>
      </c>
      <c r="E721" t="str">
        <f t="shared" si="23"/>
        <v>Direct</v>
      </c>
      <c r="F721" s="13" t="str">
        <f t="shared" si="22"/>
        <v>2023-06</v>
      </c>
    </row>
    <row r="722" spans="1:6" x14ac:dyDescent="0.2">
      <c r="A722" s="2">
        <v>45103</v>
      </c>
      <c r="B722" s="1" t="s">
        <v>9</v>
      </c>
      <c r="C722" s="1" t="s">
        <v>297</v>
      </c>
      <c r="D722" s="4">
        <v>300</v>
      </c>
      <c r="E722" t="str">
        <f t="shared" si="23"/>
        <v>Direct</v>
      </c>
      <c r="F722" s="13" t="str">
        <f t="shared" si="22"/>
        <v>2023-06</v>
      </c>
    </row>
    <row r="723" spans="1:6" x14ac:dyDescent="0.2">
      <c r="A723" s="2">
        <v>45121</v>
      </c>
      <c r="B723" s="1" t="s">
        <v>985</v>
      </c>
      <c r="C723" s="1" t="s">
        <v>296</v>
      </c>
      <c r="D723" s="4">
        <v>18000</v>
      </c>
      <c r="E723" t="str">
        <f t="shared" si="23"/>
        <v>Direct</v>
      </c>
      <c r="F723" s="13" t="str">
        <f t="shared" si="22"/>
        <v>2023-07</v>
      </c>
    </row>
    <row r="724" spans="1:6" x14ac:dyDescent="0.2">
      <c r="A724" s="2">
        <v>45121</v>
      </c>
      <c r="B724" s="1" t="s">
        <v>985</v>
      </c>
      <c r="C724" s="1" t="s">
        <v>295</v>
      </c>
      <c r="D724" s="4">
        <v>20000</v>
      </c>
      <c r="E724" t="str">
        <f t="shared" si="23"/>
        <v>Direct</v>
      </c>
      <c r="F724" s="13" t="str">
        <f t="shared" si="22"/>
        <v>2023-07</v>
      </c>
    </row>
    <row r="725" spans="1:6" x14ac:dyDescent="0.2">
      <c r="A725" s="2">
        <v>45121</v>
      </c>
      <c r="B725" s="1" t="s">
        <v>985</v>
      </c>
      <c r="C725" s="1" t="s">
        <v>297</v>
      </c>
      <c r="D725" s="4">
        <v>20000</v>
      </c>
      <c r="E725" t="str">
        <f t="shared" si="23"/>
        <v>Direct</v>
      </c>
      <c r="F725" s="13" t="str">
        <f t="shared" si="22"/>
        <v>2023-07</v>
      </c>
    </row>
    <row r="726" spans="1:6" x14ac:dyDescent="0.2">
      <c r="A726" s="2">
        <v>45128</v>
      </c>
      <c r="B726" s="1" t="s">
        <v>464</v>
      </c>
      <c r="C726" s="1" t="s">
        <v>295</v>
      </c>
      <c r="D726" s="4">
        <v>800</v>
      </c>
      <c r="E726" t="str">
        <f t="shared" si="23"/>
        <v>Direct</v>
      </c>
      <c r="F726" s="13" t="str">
        <f t="shared" si="22"/>
        <v>2023-07</v>
      </c>
    </row>
    <row r="727" spans="1:6" x14ac:dyDescent="0.2">
      <c r="A727" s="2">
        <v>45128</v>
      </c>
      <c r="B727" s="1" t="s">
        <v>373</v>
      </c>
      <c r="C727" s="1" t="s">
        <v>295</v>
      </c>
      <c r="D727" s="4">
        <v>300</v>
      </c>
      <c r="E727" t="str">
        <f t="shared" si="23"/>
        <v>Direct</v>
      </c>
      <c r="F727" s="13" t="str">
        <f t="shared" si="22"/>
        <v>2023-07</v>
      </c>
    </row>
    <row r="728" spans="1:6" x14ac:dyDescent="0.2">
      <c r="A728" s="2">
        <v>45129</v>
      </c>
      <c r="B728" s="1" t="s">
        <v>168</v>
      </c>
      <c r="C728" s="1" t="s">
        <v>994</v>
      </c>
      <c r="D728" s="4">
        <v>800</v>
      </c>
      <c r="E728" t="str">
        <f t="shared" si="23"/>
        <v>Shared</v>
      </c>
      <c r="F728" s="13" t="str">
        <f t="shared" si="22"/>
        <v>2023-07</v>
      </c>
    </row>
    <row r="729" spans="1:6" x14ac:dyDescent="0.2">
      <c r="A729" s="2">
        <v>45129</v>
      </c>
      <c r="B729" s="1" t="s">
        <v>171</v>
      </c>
      <c r="C729" s="1" t="s">
        <v>994</v>
      </c>
      <c r="D729" s="4">
        <v>1100</v>
      </c>
      <c r="E729" t="str">
        <f t="shared" si="23"/>
        <v>Shared</v>
      </c>
      <c r="F729" s="13" t="str">
        <f t="shared" si="22"/>
        <v>2023-07</v>
      </c>
    </row>
    <row r="730" spans="1:6" x14ac:dyDescent="0.2">
      <c r="A730" s="2">
        <v>45133</v>
      </c>
      <c r="B730" s="1" t="s">
        <v>384</v>
      </c>
      <c r="C730" s="1" t="s">
        <v>295</v>
      </c>
      <c r="D730" s="4">
        <v>1100</v>
      </c>
      <c r="E730" t="str">
        <f t="shared" si="23"/>
        <v>Direct</v>
      </c>
      <c r="F730" s="13" t="str">
        <f t="shared" si="22"/>
        <v>2023-07</v>
      </c>
    </row>
    <row r="731" spans="1:6" x14ac:dyDescent="0.2">
      <c r="A731" s="2">
        <v>45133</v>
      </c>
      <c r="B731" s="1" t="s">
        <v>9</v>
      </c>
      <c r="C731" s="1" t="s">
        <v>295</v>
      </c>
      <c r="D731" s="4">
        <v>300</v>
      </c>
      <c r="E731" t="str">
        <f t="shared" si="23"/>
        <v>Direct</v>
      </c>
      <c r="F731" s="13" t="str">
        <f t="shared" si="22"/>
        <v>2023-07</v>
      </c>
    </row>
    <row r="732" spans="1:6" x14ac:dyDescent="0.2">
      <c r="A732" s="2">
        <v>45133</v>
      </c>
      <c r="B732" s="1" t="s">
        <v>389</v>
      </c>
      <c r="C732" s="1" t="s">
        <v>295</v>
      </c>
      <c r="D732" s="4">
        <v>300</v>
      </c>
      <c r="E732" t="str">
        <f t="shared" si="23"/>
        <v>Direct</v>
      </c>
      <c r="F732" s="13" t="str">
        <f t="shared" si="22"/>
        <v>2023-07</v>
      </c>
    </row>
    <row r="733" spans="1:6" x14ac:dyDescent="0.2">
      <c r="A733" s="2">
        <v>45135</v>
      </c>
      <c r="B733" s="1" t="s">
        <v>465</v>
      </c>
      <c r="C733" s="1" t="s">
        <v>295</v>
      </c>
      <c r="D733" s="4">
        <v>350</v>
      </c>
      <c r="E733" t="str">
        <f t="shared" si="23"/>
        <v>Direct</v>
      </c>
      <c r="F733" s="13" t="str">
        <f t="shared" si="22"/>
        <v>2023-07</v>
      </c>
    </row>
    <row r="734" spans="1:6" x14ac:dyDescent="0.2">
      <c r="A734" s="2">
        <v>45137</v>
      </c>
      <c r="B734" s="1" t="s">
        <v>384</v>
      </c>
      <c r="C734" s="1" t="s">
        <v>295</v>
      </c>
      <c r="D734" s="4">
        <v>1100</v>
      </c>
      <c r="E734" t="str">
        <f t="shared" si="23"/>
        <v>Direct</v>
      </c>
      <c r="F734" s="13" t="str">
        <f t="shared" si="22"/>
        <v>2023-07</v>
      </c>
    </row>
    <row r="735" spans="1:6" x14ac:dyDescent="0.2">
      <c r="A735" s="2">
        <v>45137</v>
      </c>
      <c r="B735" s="1" t="s">
        <v>9</v>
      </c>
      <c r="C735" s="1" t="s">
        <v>295</v>
      </c>
      <c r="D735" s="4">
        <v>300</v>
      </c>
      <c r="E735" t="str">
        <f t="shared" si="23"/>
        <v>Direct</v>
      </c>
      <c r="F735" s="13" t="str">
        <f t="shared" si="22"/>
        <v>2023-07</v>
      </c>
    </row>
    <row r="736" spans="1:6" x14ac:dyDescent="0.2">
      <c r="A736" s="2">
        <v>45137</v>
      </c>
      <c r="B736" s="1" t="s">
        <v>1040</v>
      </c>
      <c r="C736" s="1" t="s">
        <v>994</v>
      </c>
      <c r="D736" s="4">
        <v>400</v>
      </c>
      <c r="E736" t="str">
        <f t="shared" si="23"/>
        <v>Shared</v>
      </c>
      <c r="F736" s="13" t="str">
        <f t="shared" si="22"/>
        <v>2023-07</v>
      </c>
    </row>
    <row r="737" spans="1:6" x14ac:dyDescent="0.2">
      <c r="A737" s="2">
        <v>45137</v>
      </c>
      <c r="B737" s="1" t="s">
        <v>466</v>
      </c>
      <c r="C737" s="1" t="s">
        <v>295</v>
      </c>
      <c r="D737" s="4">
        <v>200</v>
      </c>
      <c r="E737" t="str">
        <f t="shared" si="23"/>
        <v>Direct</v>
      </c>
      <c r="F737" s="13" t="str">
        <f t="shared" si="22"/>
        <v>2023-07</v>
      </c>
    </row>
    <row r="738" spans="1:6" x14ac:dyDescent="0.2">
      <c r="A738" s="2">
        <v>45139</v>
      </c>
      <c r="B738" s="1" t="s">
        <v>172</v>
      </c>
      <c r="C738" s="1" t="s">
        <v>994</v>
      </c>
      <c r="D738" s="4">
        <v>800</v>
      </c>
      <c r="E738" t="str">
        <f t="shared" si="23"/>
        <v>Shared</v>
      </c>
      <c r="F738" s="13" t="str">
        <f t="shared" si="22"/>
        <v>2023-08</v>
      </c>
    </row>
    <row r="739" spans="1:6" x14ac:dyDescent="0.2">
      <c r="A739" s="2">
        <v>45139</v>
      </c>
      <c r="B739" s="1" t="s">
        <v>366</v>
      </c>
      <c r="C739" s="1" t="s">
        <v>295</v>
      </c>
      <c r="D739" s="4">
        <v>250</v>
      </c>
      <c r="E739" t="str">
        <f t="shared" si="23"/>
        <v>Direct</v>
      </c>
      <c r="F739" s="13" t="str">
        <f t="shared" si="22"/>
        <v>2023-08</v>
      </c>
    </row>
    <row r="740" spans="1:6" x14ac:dyDescent="0.2">
      <c r="A740" s="2">
        <v>45139</v>
      </c>
      <c r="B740" s="1" t="s">
        <v>173</v>
      </c>
      <c r="C740" s="1" t="s">
        <v>994</v>
      </c>
      <c r="D740" s="4">
        <v>2100</v>
      </c>
      <c r="E740" t="str">
        <f t="shared" si="23"/>
        <v>Shared</v>
      </c>
      <c r="F740" s="13" t="str">
        <f t="shared" si="22"/>
        <v>2023-08</v>
      </c>
    </row>
    <row r="741" spans="1:6" x14ac:dyDescent="0.2">
      <c r="A741" s="2">
        <v>45140</v>
      </c>
      <c r="B741" s="1" t="s">
        <v>467</v>
      </c>
      <c r="C741" s="1" t="s">
        <v>295</v>
      </c>
      <c r="D741" s="4">
        <v>200</v>
      </c>
      <c r="E741" t="str">
        <f t="shared" si="23"/>
        <v>Direct</v>
      </c>
      <c r="F741" s="13" t="str">
        <f t="shared" si="22"/>
        <v>2023-08</v>
      </c>
    </row>
    <row r="742" spans="1:6" x14ac:dyDescent="0.2">
      <c r="A742" s="2">
        <v>45147</v>
      </c>
      <c r="B742" s="1" t="s">
        <v>363</v>
      </c>
      <c r="C742" s="1" t="s">
        <v>295</v>
      </c>
      <c r="D742" s="4">
        <v>700</v>
      </c>
      <c r="E742" t="str">
        <f t="shared" si="23"/>
        <v>Direct</v>
      </c>
      <c r="F742" s="13" t="str">
        <f t="shared" si="22"/>
        <v>2023-08</v>
      </c>
    </row>
    <row r="743" spans="1:6" x14ac:dyDescent="0.2">
      <c r="A743" s="2">
        <v>45147</v>
      </c>
      <c r="B743" s="1" t="s">
        <v>366</v>
      </c>
      <c r="C743" s="1" t="s">
        <v>295</v>
      </c>
      <c r="D743" s="4">
        <v>300</v>
      </c>
      <c r="E743" t="str">
        <f t="shared" si="23"/>
        <v>Direct</v>
      </c>
      <c r="F743" s="13" t="str">
        <f t="shared" si="22"/>
        <v>2023-08</v>
      </c>
    </row>
    <row r="744" spans="1:6" x14ac:dyDescent="0.2">
      <c r="A744" s="2">
        <v>45149</v>
      </c>
      <c r="B744" s="1" t="s">
        <v>468</v>
      </c>
      <c r="C744" s="1" t="s">
        <v>295</v>
      </c>
      <c r="D744" s="4">
        <v>2400</v>
      </c>
      <c r="E744" t="str">
        <f t="shared" si="23"/>
        <v>Direct</v>
      </c>
      <c r="F744" s="13" t="str">
        <f t="shared" si="22"/>
        <v>2023-08</v>
      </c>
    </row>
    <row r="745" spans="1:6" x14ac:dyDescent="0.2">
      <c r="A745" s="2">
        <v>45155</v>
      </c>
      <c r="B745" s="1" t="s">
        <v>985</v>
      </c>
      <c r="C745" s="1" t="s">
        <v>295</v>
      </c>
      <c r="D745" s="4">
        <v>30000</v>
      </c>
      <c r="E745" t="str">
        <f t="shared" si="23"/>
        <v>Direct</v>
      </c>
      <c r="F745" s="13" t="str">
        <f t="shared" si="22"/>
        <v>2023-08</v>
      </c>
    </row>
    <row r="746" spans="1:6" x14ac:dyDescent="0.2">
      <c r="A746" s="2">
        <v>45155</v>
      </c>
      <c r="B746" s="1" t="s">
        <v>985</v>
      </c>
      <c r="C746" s="1" t="s">
        <v>296</v>
      </c>
      <c r="D746" s="4">
        <v>25000</v>
      </c>
      <c r="E746" t="str">
        <f t="shared" si="23"/>
        <v>Direct</v>
      </c>
      <c r="F746" s="13" t="str">
        <f t="shared" si="22"/>
        <v>2023-08</v>
      </c>
    </row>
    <row r="747" spans="1:6" x14ac:dyDescent="0.2">
      <c r="A747" s="2">
        <v>45155</v>
      </c>
      <c r="B747" s="1" t="s">
        <v>985</v>
      </c>
      <c r="C747" s="1" t="s">
        <v>297</v>
      </c>
      <c r="D747" s="4">
        <v>30000</v>
      </c>
      <c r="E747" t="str">
        <f t="shared" si="23"/>
        <v>Direct</v>
      </c>
      <c r="F747" s="13" t="str">
        <f t="shared" si="22"/>
        <v>2023-08</v>
      </c>
    </row>
    <row r="748" spans="1:6" x14ac:dyDescent="0.2">
      <c r="A748" s="2">
        <v>45161</v>
      </c>
      <c r="B748" s="1" t="s">
        <v>469</v>
      </c>
      <c r="C748" s="1" t="s">
        <v>295</v>
      </c>
      <c r="D748" s="4">
        <v>1200</v>
      </c>
      <c r="E748" t="str">
        <f t="shared" si="23"/>
        <v>Direct</v>
      </c>
      <c r="F748" s="13" t="str">
        <f t="shared" si="22"/>
        <v>2023-08</v>
      </c>
    </row>
    <row r="749" spans="1:6" x14ac:dyDescent="0.2">
      <c r="A749" s="2">
        <v>45161</v>
      </c>
      <c r="B749" s="1" t="s">
        <v>174</v>
      </c>
      <c r="C749" s="1" t="s">
        <v>994</v>
      </c>
      <c r="D749" s="4">
        <v>3700</v>
      </c>
      <c r="E749" t="str">
        <f t="shared" si="23"/>
        <v>Shared</v>
      </c>
      <c r="F749" s="13" t="str">
        <f t="shared" si="22"/>
        <v>2023-08</v>
      </c>
    </row>
    <row r="750" spans="1:6" x14ac:dyDescent="0.2">
      <c r="A750" s="2">
        <v>45162</v>
      </c>
      <c r="B750" s="1" t="s">
        <v>314</v>
      </c>
      <c r="C750" s="1" t="s">
        <v>295</v>
      </c>
      <c r="D750" s="4">
        <v>1700</v>
      </c>
      <c r="E750" t="str">
        <f t="shared" si="23"/>
        <v>Direct</v>
      </c>
      <c r="F750" s="13" t="str">
        <f t="shared" si="22"/>
        <v>2023-08</v>
      </c>
    </row>
    <row r="751" spans="1:6" x14ac:dyDescent="0.2">
      <c r="A751" s="2">
        <v>45162</v>
      </c>
      <c r="B751" s="1" t="s">
        <v>470</v>
      </c>
      <c r="C751" s="1" t="s">
        <v>295</v>
      </c>
      <c r="D751" s="4">
        <v>800</v>
      </c>
      <c r="E751" t="str">
        <f t="shared" si="23"/>
        <v>Direct</v>
      </c>
      <c r="F751" s="13" t="str">
        <f t="shared" si="22"/>
        <v>2023-08</v>
      </c>
    </row>
    <row r="752" spans="1:6" x14ac:dyDescent="0.2">
      <c r="A752" s="2">
        <v>45162</v>
      </c>
      <c r="B752" s="1" t="s">
        <v>175</v>
      </c>
      <c r="C752" s="1" t="s">
        <v>994</v>
      </c>
      <c r="D752" s="4">
        <v>1200</v>
      </c>
      <c r="E752" t="str">
        <f t="shared" si="23"/>
        <v>Shared</v>
      </c>
      <c r="F752" s="13" t="str">
        <f t="shared" si="22"/>
        <v>2023-08</v>
      </c>
    </row>
    <row r="753" spans="1:6" x14ac:dyDescent="0.2">
      <c r="A753" s="2">
        <v>45166</v>
      </c>
      <c r="B753" s="1" t="s">
        <v>168</v>
      </c>
      <c r="C753" s="1" t="s">
        <v>994</v>
      </c>
      <c r="D753" s="4">
        <v>925</v>
      </c>
      <c r="E753" t="str">
        <f t="shared" si="23"/>
        <v>Shared</v>
      </c>
      <c r="F753" s="13" t="str">
        <f t="shared" si="22"/>
        <v>2023-08</v>
      </c>
    </row>
    <row r="754" spans="1:6" x14ac:dyDescent="0.2">
      <c r="A754" s="2">
        <v>45169</v>
      </c>
      <c r="B754" s="1" t="s">
        <v>176</v>
      </c>
      <c r="C754" s="1" t="s">
        <v>994</v>
      </c>
      <c r="D754" s="4">
        <v>220</v>
      </c>
      <c r="E754" t="str">
        <f t="shared" si="23"/>
        <v>Shared</v>
      </c>
      <c r="F754" s="13" t="str">
        <f t="shared" si="22"/>
        <v>2023-08</v>
      </c>
    </row>
    <row r="755" spans="1:6" x14ac:dyDescent="0.2">
      <c r="A755" s="2">
        <v>45170</v>
      </c>
      <c r="B755" s="1" t="s">
        <v>298</v>
      </c>
      <c r="C755" s="1" t="s">
        <v>296</v>
      </c>
      <c r="D755" s="4">
        <v>1100</v>
      </c>
      <c r="E755" t="str">
        <f t="shared" si="23"/>
        <v>Direct</v>
      </c>
      <c r="F755" s="13" t="str">
        <f t="shared" si="22"/>
        <v>2023-09</v>
      </c>
    </row>
    <row r="756" spans="1:6" x14ac:dyDescent="0.2">
      <c r="A756" s="2">
        <v>45170</v>
      </c>
      <c r="B756" s="1" t="s">
        <v>5</v>
      </c>
      <c r="C756" s="1" t="s">
        <v>994</v>
      </c>
      <c r="D756" s="4">
        <v>2600</v>
      </c>
      <c r="E756" t="str">
        <f t="shared" si="23"/>
        <v>Shared</v>
      </c>
      <c r="F756" s="13" t="str">
        <f t="shared" si="22"/>
        <v>2023-09</v>
      </c>
    </row>
    <row r="757" spans="1:6" x14ac:dyDescent="0.2">
      <c r="A757" s="2">
        <v>45172</v>
      </c>
      <c r="B757" s="1" t="s">
        <v>471</v>
      </c>
      <c r="C757" s="1" t="s">
        <v>297</v>
      </c>
      <c r="D757" s="4">
        <v>1000</v>
      </c>
      <c r="E757" t="str">
        <f t="shared" si="23"/>
        <v>Direct</v>
      </c>
      <c r="F757" s="13" t="str">
        <f t="shared" si="22"/>
        <v>2023-09</v>
      </c>
    </row>
    <row r="758" spans="1:6" x14ac:dyDescent="0.2">
      <c r="A758" s="2">
        <v>45172</v>
      </c>
      <c r="B758" s="1" t="s">
        <v>472</v>
      </c>
      <c r="C758" s="1" t="s">
        <v>295</v>
      </c>
      <c r="D758" s="4">
        <v>460</v>
      </c>
      <c r="E758" t="str">
        <f t="shared" si="23"/>
        <v>Direct</v>
      </c>
      <c r="F758" s="13" t="str">
        <f t="shared" si="22"/>
        <v>2023-09</v>
      </c>
    </row>
    <row r="759" spans="1:6" x14ac:dyDescent="0.2">
      <c r="A759" s="2">
        <v>45175</v>
      </c>
      <c r="B759" s="1" t="s">
        <v>298</v>
      </c>
      <c r="C759" s="1" t="s">
        <v>296</v>
      </c>
      <c r="D759" s="4">
        <v>1100</v>
      </c>
      <c r="E759" t="str">
        <f t="shared" si="23"/>
        <v>Direct</v>
      </c>
      <c r="F759" s="13" t="str">
        <f t="shared" si="22"/>
        <v>2023-09</v>
      </c>
    </row>
    <row r="760" spans="1:6" x14ac:dyDescent="0.2">
      <c r="A760" s="2">
        <v>45175</v>
      </c>
      <c r="B760" s="1" t="s">
        <v>9</v>
      </c>
      <c r="C760" s="1" t="s">
        <v>296</v>
      </c>
      <c r="D760" s="4">
        <v>250</v>
      </c>
      <c r="E760" t="str">
        <f t="shared" si="23"/>
        <v>Direct</v>
      </c>
      <c r="F760" s="13" t="str">
        <f t="shared" si="22"/>
        <v>2023-09</v>
      </c>
    </row>
    <row r="761" spans="1:6" x14ac:dyDescent="0.2">
      <c r="A761" s="2">
        <v>45175</v>
      </c>
      <c r="B761" s="1" t="s">
        <v>178</v>
      </c>
      <c r="C761" s="1" t="s">
        <v>994</v>
      </c>
      <c r="D761" s="4">
        <v>200</v>
      </c>
      <c r="E761" t="str">
        <f t="shared" si="23"/>
        <v>Shared</v>
      </c>
      <c r="F761" s="13" t="str">
        <f t="shared" si="22"/>
        <v>2023-09</v>
      </c>
    </row>
    <row r="762" spans="1:6" x14ac:dyDescent="0.2">
      <c r="A762" s="2">
        <v>45176</v>
      </c>
      <c r="B762" s="1" t="s">
        <v>177</v>
      </c>
      <c r="C762" s="1" t="s">
        <v>994</v>
      </c>
      <c r="D762" s="4">
        <v>1800</v>
      </c>
      <c r="E762" t="str">
        <f t="shared" si="23"/>
        <v>Shared</v>
      </c>
      <c r="F762" s="13" t="str">
        <f t="shared" si="22"/>
        <v>2023-09</v>
      </c>
    </row>
    <row r="763" spans="1:6" x14ac:dyDescent="0.2">
      <c r="A763" s="2">
        <v>45183</v>
      </c>
      <c r="B763" s="1" t="s">
        <v>473</v>
      </c>
      <c r="C763" s="1" t="s">
        <v>297</v>
      </c>
      <c r="D763" s="4">
        <v>2160</v>
      </c>
      <c r="E763" t="str">
        <f t="shared" si="23"/>
        <v>Direct</v>
      </c>
      <c r="F763" s="13" t="str">
        <f t="shared" si="22"/>
        <v>2023-09</v>
      </c>
    </row>
    <row r="764" spans="1:6" x14ac:dyDescent="0.2">
      <c r="A764" s="2">
        <v>45184</v>
      </c>
      <c r="B764" s="1" t="s">
        <v>985</v>
      </c>
      <c r="C764" s="1" t="s">
        <v>295</v>
      </c>
      <c r="D764" s="4">
        <v>36300</v>
      </c>
      <c r="E764" t="str">
        <f t="shared" si="23"/>
        <v>Direct</v>
      </c>
      <c r="F764" s="13" t="str">
        <f t="shared" si="22"/>
        <v>2023-09</v>
      </c>
    </row>
    <row r="765" spans="1:6" x14ac:dyDescent="0.2">
      <c r="A765" s="2">
        <v>45184</v>
      </c>
      <c r="B765" s="1" t="s">
        <v>985</v>
      </c>
      <c r="C765" s="1" t="s">
        <v>296</v>
      </c>
      <c r="D765" s="4">
        <v>18600</v>
      </c>
      <c r="E765" t="str">
        <f t="shared" si="23"/>
        <v>Direct</v>
      </c>
      <c r="F765" s="13" t="str">
        <f t="shared" si="22"/>
        <v>2023-09</v>
      </c>
    </row>
    <row r="766" spans="1:6" x14ac:dyDescent="0.2">
      <c r="A766" s="2">
        <v>45184</v>
      </c>
      <c r="B766" s="1" t="s">
        <v>985</v>
      </c>
      <c r="C766" s="1" t="s">
        <v>297</v>
      </c>
      <c r="D766" s="4">
        <v>36300</v>
      </c>
      <c r="E766" t="str">
        <f t="shared" si="23"/>
        <v>Direct</v>
      </c>
      <c r="F766" s="13" t="str">
        <f t="shared" si="22"/>
        <v>2023-09</v>
      </c>
    </row>
    <row r="767" spans="1:6" x14ac:dyDescent="0.2">
      <c r="A767" s="2">
        <v>45187</v>
      </c>
      <c r="B767" s="1" t="s">
        <v>474</v>
      </c>
      <c r="C767" s="1" t="s">
        <v>297</v>
      </c>
      <c r="D767" s="4">
        <v>1200</v>
      </c>
      <c r="E767" t="str">
        <f t="shared" si="23"/>
        <v>Direct</v>
      </c>
      <c r="F767" s="13" t="str">
        <f t="shared" si="22"/>
        <v>2023-09</v>
      </c>
    </row>
    <row r="768" spans="1:6" x14ac:dyDescent="0.2">
      <c r="A768" s="2">
        <v>45189</v>
      </c>
      <c r="B768" s="1" t="s">
        <v>475</v>
      </c>
      <c r="C768" s="1" t="s">
        <v>295</v>
      </c>
      <c r="D768" s="4">
        <v>600</v>
      </c>
      <c r="E768" t="str">
        <f t="shared" si="23"/>
        <v>Direct</v>
      </c>
      <c r="F768" s="13" t="str">
        <f t="shared" si="22"/>
        <v>2023-09</v>
      </c>
    </row>
    <row r="769" spans="1:6" x14ac:dyDescent="0.2">
      <c r="A769" s="2">
        <v>45189</v>
      </c>
      <c r="B769" s="1" t="s">
        <v>476</v>
      </c>
      <c r="C769" s="1" t="s">
        <v>295</v>
      </c>
      <c r="D769" s="4">
        <v>600</v>
      </c>
      <c r="E769" t="str">
        <f t="shared" si="23"/>
        <v>Direct</v>
      </c>
      <c r="F769" s="13" t="str">
        <f t="shared" si="22"/>
        <v>2023-09</v>
      </c>
    </row>
    <row r="770" spans="1:6" x14ac:dyDescent="0.2">
      <c r="A770" s="2">
        <v>45189</v>
      </c>
      <c r="B770" s="1" t="s">
        <v>298</v>
      </c>
      <c r="C770" s="1" t="s">
        <v>297</v>
      </c>
      <c r="D770" s="4">
        <v>1100</v>
      </c>
      <c r="E770" t="str">
        <f t="shared" si="23"/>
        <v>Direct</v>
      </c>
      <c r="F770" s="13" t="str">
        <f t="shared" ref="F770:F833" si="24">YEAR(A770)&amp;"-"&amp;TEXT(MONTH(A770),"00")</f>
        <v>2023-09</v>
      </c>
    </row>
    <row r="771" spans="1:6" x14ac:dyDescent="0.2">
      <c r="A771" s="2">
        <v>45189</v>
      </c>
      <c r="B771" s="1" t="s">
        <v>477</v>
      </c>
      <c r="C771" s="1" t="s">
        <v>297</v>
      </c>
      <c r="D771" s="4">
        <v>460</v>
      </c>
      <c r="E771" t="str">
        <f t="shared" ref="E771:E834" si="25">IF(OR(C771="A302", C771="B303", C771="C301"), "Direct", "Shared")</f>
        <v>Direct</v>
      </c>
      <c r="F771" s="13" t="str">
        <f t="shared" si="24"/>
        <v>2023-09</v>
      </c>
    </row>
    <row r="772" spans="1:6" x14ac:dyDescent="0.2">
      <c r="A772" s="2">
        <v>45191</v>
      </c>
      <c r="B772" s="1" t="s">
        <v>179</v>
      </c>
      <c r="C772" s="1" t="s">
        <v>994</v>
      </c>
      <c r="D772" s="4">
        <v>780</v>
      </c>
      <c r="E772" t="str">
        <f t="shared" si="25"/>
        <v>Shared</v>
      </c>
      <c r="F772" s="13" t="str">
        <f t="shared" si="24"/>
        <v>2023-09</v>
      </c>
    </row>
    <row r="773" spans="1:6" x14ac:dyDescent="0.2">
      <c r="A773" s="2">
        <v>45191</v>
      </c>
      <c r="B773" s="1" t="s">
        <v>180</v>
      </c>
      <c r="C773" s="1" t="s">
        <v>994</v>
      </c>
      <c r="D773" s="4">
        <v>3008</v>
      </c>
      <c r="E773" t="str">
        <f t="shared" si="25"/>
        <v>Shared</v>
      </c>
      <c r="F773" s="13" t="str">
        <f t="shared" si="24"/>
        <v>2023-09</v>
      </c>
    </row>
    <row r="774" spans="1:6" x14ac:dyDescent="0.2">
      <c r="A774" s="2">
        <v>45191</v>
      </c>
      <c r="B774" s="1" t="s">
        <v>181</v>
      </c>
      <c r="C774" s="1" t="s">
        <v>994</v>
      </c>
      <c r="D774" s="4">
        <v>400</v>
      </c>
      <c r="E774" t="str">
        <f t="shared" si="25"/>
        <v>Shared</v>
      </c>
      <c r="F774" s="13" t="str">
        <f t="shared" si="24"/>
        <v>2023-09</v>
      </c>
    </row>
    <row r="775" spans="1:6" x14ac:dyDescent="0.2">
      <c r="A775" s="2">
        <v>45191</v>
      </c>
      <c r="B775" s="1" t="s">
        <v>182</v>
      </c>
      <c r="C775" s="1" t="s">
        <v>994</v>
      </c>
      <c r="D775" s="4">
        <v>300</v>
      </c>
      <c r="E775" t="str">
        <f t="shared" si="25"/>
        <v>Shared</v>
      </c>
      <c r="F775" s="13" t="str">
        <f t="shared" si="24"/>
        <v>2023-09</v>
      </c>
    </row>
    <row r="776" spans="1:6" x14ac:dyDescent="0.2">
      <c r="A776" s="2">
        <v>45191</v>
      </c>
      <c r="B776" s="1" t="s">
        <v>1041</v>
      </c>
      <c r="C776" s="1" t="s">
        <v>994</v>
      </c>
      <c r="D776" s="4">
        <v>200</v>
      </c>
      <c r="E776" t="str">
        <f t="shared" si="25"/>
        <v>Shared</v>
      </c>
      <c r="F776" s="13" t="str">
        <f t="shared" si="24"/>
        <v>2023-09</v>
      </c>
    </row>
    <row r="777" spans="1:6" x14ac:dyDescent="0.2">
      <c r="A777" s="2">
        <v>45192</v>
      </c>
      <c r="B777" s="1" t="s">
        <v>478</v>
      </c>
      <c r="C777" s="1" t="s">
        <v>295</v>
      </c>
      <c r="D777" s="4">
        <v>600</v>
      </c>
      <c r="E777" t="str">
        <f t="shared" si="25"/>
        <v>Direct</v>
      </c>
      <c r="F777" s="13" t="str">
        <f t="shared" si="24"/>
        <v>2023-09</v>
      </c>
    </row>
    <row r="778" spans="1:6" x14ac:dyDescent="0.2">
      <c r="A778" s="2">
        <v>45192</v>
      </c>
      <c r="B778" s="1" t="s">
        <v>183</v>
      </c>
      <c r="C778" s="1" t="s">
        <v>994</v>
      </c>
      <c r="D778" s="4">
        <v>3000</v>
      </c>
      <c r="E778" t="str">
        <f t="shared" si="25"/>
        <v>Shared</v>
      </c>
      <c r="F778" s="13" t="str">
        <f t="shared" si="24"/>
        <v>2023-09</v>
      </c>
    </row>
    <row r="779" spans="1:6" x14ac:dyDescent="0.2">
      <c r="A779" s="2">
        <v>45194</v>
      </c>
      <c r="B779" s="1" t="s">
        <v>1042</v>
      </c>
      <c r="C779" s="1" t="s">
        <v>297</v>
      </c>
      <c r="D779" s="4">
        <v>800</v>
      </c>
      <c r="E779" t="str">
        <f t="shared" si="25"/>
        <v>Direct</v>
      </c>
      <c r="F779" s="13" t="str">
        <f t="shared" si="24"/>
        <v>2023-09</v>
      </c>
    </row>
    <row r="780" spans="1:6" x14ac:dyDescent="0.2">
      <c r="A780" s="2">
        <v>45194</v>
      </c>
      <c r="B780" s="1" t="s">
        <v>1043</v>
      </c>
      <c r="C780" s="1" t="s">
        <v>295</v>
      </c>
      <c r="D780" s="4">
        <v>600</v>
      </c>
      <c r="E780" t="str">
        <f t="shared" si="25"/>
        <v>Direct</v>
      </c>
      <c r="F780" s="13" t="str">
        <f t="shared" si="24"/>
        <v>2023-09</v>
      </c>
    </row>
    <row r="781" spans="1:6" x14ac:dyDescent="0.2">
      <c r="A781" s="2">
        <v>45194</v>
      </c>
      <c r="B781" s="1" t="s">
        <v>363</v>
      </c>
      <c r="C781" s="1" t="s">
        <v>297</v>
      </c>
      <c r="D781" s="4">
        <v>800</v>
      </c>
      <c r="E781" t="str">
        <f t="shared" si="25"/>
        <v>Direct</v>
      </c>
      <c r="F781" s="13" t="str">
        <f t="shared" si="24"/>
        <v>2023-09</v>
      </c>
    </row>
    <row r="782" spans="1:6" x14ac:dyDescent="0.2">
      <c r="A782" s="2">
        <v>45194</v>
      </c>
      <c r="B782" s="1" t="s">
        <v>184</v>
      </c>
      <c r="C782" s="1" t="s">
        <v>994</v>
      </c>
      <c r="D782" s="4">
        <v>900</v>
      </c>
      <c r="E782" t="str">
        <f t="shared" si="25"/>
        <v>Shared</v>
      </c>
      <c r="F782" s="13" t="str">
        <f t="shared" si="24"/>
        <v>2023-09</v>
      </c>
    </row>
    <row r="783" spans="1:6" x14ac:dyDescent="0.2">
      <c r="A783" s="2">
        <v>45195</v>
      </c>
      <c r="B783" s="1" t="s">
        <v>185</v>
      </c>
      <c r="C783" s="1" t="s">
        <v>994</v>
      </c>
      <c r="D783" s="4">
        <v>1450</v>
      </c>
      <c r="E783" t="str">
        <f t="shared" si="25"/>
        <v>Shared</v>
      </c>
      <c r="F783" s="13" t="str">
        <f t="shared" si="24"/>
        <v>2023-09</v>
      </c>
    </row>
    <row r="784" spans="1:6" x14ac:dyDescent="0.2">
      <c r="A784" s="2">
        <v>45195</v>
      </c>
      <c r="B784" s="1" t="s">
        <v>186</v>
      </c>
      <c r="C784" s="1" t="s">
        <v>994</v>
      </c>
      <c r="D784" s="4">
        <v>1100</v>
      </c>
      <c r="E784" t="str">
        <f t="shared" si="25"/>
        <v>Shared</v>
      </c>
      <c r="F784" s="13" t="str">
        <f t="shared" si="24"/>
        <v>2023-09</v>
      </c>
    </row>
    <row r="785" spans="1:6" x14ac:dyDescent="0.2">
      <c r="A785" s="2">
        <v>45196</v>
      </c>
      <c r="B785" s="1" t="s">
        <v>479</v>
      </c>
      <c r="C785" s="1" t="s">
        <v>295</v>
      </c>
      <c r="D785" s="4">
        <v>400</v>
      </c>
      <c r="E785" t="str">
        <f t="shared" si="25"/>
        <v>Direct</v>
      </c>
      <c r="F785" s="13" t="str">
        <f t="shared" si="24"/>
        <v>2023-09</v>
      </c>
    </row>
    <row r="786" spans="1:6" x14ac:dyDescent="0.2">
      <c r="A786" s="2">
        <v>45198</v>
      </c>
      <c r="B786" s="1" t="s">
        <v>363</v>
      </c>
      <c r="C786" s="1" t="s">
        <v>295</v>
      </c>
      <c r="D786" s="4">
        <v>700</v>
      </c>
      <c r="E786" t="str">
        <f t="shared" si="25"/>
        <v>Direct</v>
      </c>
      <c r="F786" s="13" t="str">
        <f t="shared" si="24"/>
        <v>2023-09</v>
      </c>
    </row>
    <row r="787" spans="1:6" x14ac:dyDescent="0.2">
      <c r="A787" s="2">
        <v>45198</v>
      </c>
      <c r="B787" s="1" t="s">
        <v>366</v>
      </c>
      <c r="C787" s="1" t="s">
        <v>295</v>
      </c>
      <c r="D787" s="4">
        <v>200</v>
      </c>
      <c r="E787" t="str">
        <f t="shared" si="25"/>
        <v>Direct</v>
      </c>
      <c r="F787" s="13" t="str">
        <f t="shared" si="24"/>
        <v>2023-09</v>
      </c>
    </row>
    <row r="788" spans="1:6" x14ac:dyDescent="0.2">
      <c r="A788" s="2">
        <v>45198</v>
      </c>
      <c r="B788" s="1" t="s">
        <v>187</v>
      </c>
      <c r="C788" s="1" t="s">
        <v>994</v>
      </c>
      <c r="D788" s="4">
        <v>500</v>
      </c>
      <c r="E788" t="str">
        <f t="shared" si="25"/>
        <v>Shared</v>
      </c>
      <c r="F788" s="13" t="str">
        <f t="shared" si="24"/>
        <v>2023-09</v>
      </c>
    </row>
    <row r="789" spans="1:6" x14ac:dyDescent="0.2">
      <c r="A789" s="2">
        <v>45198</v>
      </c>
      <c r="B789" s="1" t="s">
        <v>188</v>
      </c>
      <c r="C789" s="1" t="s">
        <v>994</v>
      </c>
      <c r="D789" s="4">
        <v>1800</v>
      </c>
      <c r="E789" t="str">
        <f t="shared" si="25"/>
        <v>Shared</v>
      </c>
      <c r="F789" s="13" t="str">
        <f t="shared" si="24"/>
        <v>2023-09</v>
      </c>
    </row>
    <row r="790" spans="1:6" x14ac:dyDescent="0.2">
      <c r="A790" s="2">
        <v>45200</v>
      </c>
      <c r="B790" s="1" t="s">
        <v>480</v>
      </c>
      <c r="C790" s="1" t="s">
        <v>297</v>
      </c>
      <c r="D790" s="4">
        <v>1700</v>
      </c>
      <c r="E790" t="str">
        <f t="shared" si="25"/>
        <v>Direct</v>
      </c>
      <c r="F790" s="13" t="str">
        <f t="shared" si="24"/>
        <v>2023-10</v>
      </c>
    </row>
    <row r="791" spans="1:6" x14ac:dyDescent="0.2">
      <c r="A791" s="2">
        <v>45203</v>
      </c>
      <c r="B791" s="1" t="s">
        <v>481</v>
      </c>
      <c r="C791" s="1" t="s">
        <v>295</v>
      </c>
      <c r="D791" s="4">
        <v>1800</v>
      </c>
      <c r="E791" t="str">
        <f t="shared" si="25"/>
        <v>Direct</v>
      </c>
      <c r="F791" s="13" t="str">
        <f t="shared" si="24"/>
        <v>2023-10</v>
      </c>
    </row>
    <row r="792" spans="1:6" x14ac:dyDescent="0.2">
      <c r="A792" s="2">
        <v>45203</v>
      </c>
      <c r="B792" s="1" t="s">
        <v>482</v>
      </c>
      <c r="C792" s="1" t="s">
        <v>295</v>
      </c>
      <c r="D792" s="4">
        <v>300</v>
      </c>
      <c r="E792" t="str">
        <f t="shared" si="25"/>
        <v>Direct</v>
      </c>
      <c r="F792" s="13" t="str">
        <f t="shared" si="24"/>
        <v>2023-10</v>
      </c>
    </row>
    <row r="793" spans="1:6" x14ac:dyDescent="0.2">
      <c r="A793" s="2">
        <v>45203</v>
      </c>
      <c r="B793" s="1" t="s">
        <v>314</v>
      </c>
      <c r="C793" s="1" t="s">
        <v>297</v>
      </c>
      <c r="D793" s="4">
        <v>1700</v>
      </c>
      <c r="E793" t="str">
        <f t="shared" si="25"/>
        <v>Direct</v>
      </c>
      <c r="F793" s="13" t="str">
        <f t="shared" si="24"/>
        <v>2023-10</v>
      </c>
    </row>
    <row r="794" spans="1:6" x14ac:dyDescent="0.2">
      <c r="A794" s="2">
        <v>45203</v>
      </c>
      <c r="B794" s="1" t="s">
        <v>472</v>
      </c>
      <c r="C794" s="1" t="s">
        <v>297</v>
      </c>
      <c r="D794" s="4">
        <v>300</v>
      </c>
      <c r="E794" t="str">
        <f t="shared" si="25"/>
        <v>Direct</v>
      </c>
      <c r="F794" s="13" t="str">
        <f t="shared" si="24"/>
        <v>2023-10</v>
      </c>
    </row>
    <row r="795" spans="1:6" x14ac:dyDescent="0.2">
      <c r="A795" s="2">
        <v>45203</v>
      </c>
      <c r="B795" s="1" t="s">
        <v>189</v>
      </c>
      <c r="C795" s="1" t="s">
        <v>994</v>
      </c>
      <c r="D795" s="4">
        <v>2990</v>
      </c>
      <c r="E795" t="str">
        <f t="shared" si="25"/>
        <v>Shared</v>
      </c>
      <c r="F795" s="13" t="str">
        <f t="shared" si="24"/>
        <v>2023-10</v>
      </c>
    </row>
    <row r="796" spans="1:6" x14ac:dyDescent="0.2">
      <c r="A796" s="2">
        <v>45211</v>
      </c>
      <c r="B796" s="1" t="s">
        <v>190</v>
      </c>
      <c r="C796" s="1" t="s">
        <v>994</v>
      </c>
      <c r="D796" s="4">
        <v>315</v>
      </c>
      <c r="E796" t="str">
        <f t="shared" si="25"/>
        <v>Shared</v>
      </c>
      <c r="F796" s="13" t="str">
        <f t="shared" si="24"/>
        <v>2023-10</v>
      </c>
    </row>
    <row r="797" spans="1:6" x14ac:dyDescent="0.2">
      <c r="A797" s="2">
        <v>45211</v>
      </c>
      <c r="B797" s="1" t="s">
        <v>483</v>
      </c>
      <c r="C797" s="1" t="s">
        <v>297</v>
      </c>
      <c r="D797" s="4">
        <v>550</v>
      </c>
      <c r="E797" t="str">
        <f t="shared" si="25"/>
        <v>Direct</v>
      </c>
      <c r="F797" s="13" t="str">
        <f t="shared" si="24"/>
        <v>2023-10</v>
      </c>
    </row>
    <row r="798" spans="1:6" x14ac:dyDescent="0.2">
      <c r="A798" s="2">
        <v>45211</v>
      </c>
      <c r="B798" s="1" t="s">
        <v>985</v>
      </c>
      <c r="C798" s="1" t="s">
        <v>295</v>
      </c>
      <c r="D798" s="4">
        <v>36800</v>
      </c>
      <c r="E798" t="str">
        <f t="shared" si="25"/>
        <v>Direct</v>
      </c>
      <c r="F798" s="13" t="str">
        <f t="shared" si="24"/>
        <v>2023-10</v>
      </c>
    </row>
    <row r="799" spans="1:6" x14ac:dyDescent="0.2">
      <c r="A799" s="2">
        <v>45211</v>
      </c>
      <c r="B799" s="1" t="s">
        <v>985</v>
      </c>
      <c r="C799" s="1" t="s">
        <v>296</v>
      </c>
      <c r="D799" s="4">
        <v>18800</v>
      </c>
      <c r="E799" t="str">
        <f t="shared" si="25"/>
        <v>Direct</v>
      </c>
      <c r="F799" s="13" t="str">
        <f t="shared" si="24"/>
        <v>2023-10</v>
      </c>
    </row>
    <row r="800" spans="1:6" x14ac:dyDescent="0.2">
      <c r="A800" s="2">
        <v>45211</v>
      </c>
      <c r="B800" s="1" t="s">
        <v>985</v>
      </c>
      <c r="C800" s="1" t="s">
        <v>297</v>
      </c>
      <c r="D800" s="4">
        <v>36800</v>
      </c>
      <c r="E800" t="str">
        <f t="shared" si="25"/>
        <v>Direct</v>
      </c>
      <c r="F800" s="13" t="str">
        <f t="shared" si="24"/>
        <v>2023-10</v>
      </c>
    </row>
    <row r="801" spans="1:6" x14ac:dyDescent="0.2">
      <c r="A801" s="2">
        <v>45215</v>
      </c>
      <c r="B801" s="1" t="s">
        <v>366</v>
      </c>
      <c r="C801" s="1" t="s">
        <v>295</v>
      </c>
      <c r="D801" s="4">
        <v>250</v>
      </c>
      <c r="E801" t="str">
        <f t="shared" si="25"/>
        <v>Direct</v>
      </c>
      <c r="F801" s="13" t="str">
        <f t="shared" si="24"/>
        <v>2023-10</v>
      </c>
    </row>
    <row r="802" spans="1:6" x14ac:dyDescent="0.2">
      <c r="A802" s="2">
        <v>45215</v>
      </c>
      <c r="B802" s="1" t="s">
        <v>363</v>
      </c>
      <c r="C802" s="1" t="s">
        <v>295</v>
      </c>
      <c r="D802" s="4">
        <v>800</v>
      </c>
      <c r="E802" t="str">
        <f t="shared" si="25"/>
        <v>Direct</v>
      </c>
      <c r="F802" s="13" t="str">
        <f t="shared" si="24"/>
        <v>2023-10</v>
      </c>
    </row>
    <row r="803" spans="1:6" x14ac:dyDescent="0.2">
      <c r="A803" s="2">
        <v>45215</v>
      </c>
      <c r="B803" s="1" t="s">
        <v>1044</v>
      </c>
      <c r="C803" s="1" t="s">
        <v>994</v>
      </c>
      <c r="D803" s="4">
        <v>750</v>
      </c>
      <c r="E803" t="str">
        <f t="shared" si="25"/>
        <v>Shared</v>
      </c>
      <c r="F803" s="13" t="str">
        <f t="shared" si="24"/>
        <v>2023-10</v>
      </c>
    </row>
    <row r="804" spans="1:6" x14ac:dyDescent="0.2">
      <c r="A804" s="2">
        <v>45215</v>
      </c>
      <c r="B804" s="1" t="s">
        <v>485</v>
      </c>
      <c r="C804" s="1" t="s">
        <v>295</v>
      </c>
      <c r="D804" s="4">
        <v>800</v>
      </c>
      <c r="E804" t="str">
        <f t="shared" si="25"/>
        <v>Direct</v>
      </c>
      <c r="F804" s="13" t="str">
        <f t="shared" si="24"/>
        <v>2023-10</v>
      </c>
    </row>
    <row r="805" spans="1:6" x14ac:dyDescent="0.2">
      <c r="A805" s="2">
        <v>45216</v>
      </c>
      <c r="B805" s="1" t="s">
        <v>191</v>
      </c>
      <c r="C805" s="1" t="s">
        <v>994</v>
      </c>
      <c r="D805" s="4">
        <v>600</v>
      </c>
      <c r="E805" t="str">
        <f t="shared" si="25"/>
        <v>Shared</v>
      </c>
      <c r="F805" s="13" t="str">
        <f t="shared" si="24"/>
        <v>2023-10</v>
      </c>
    </row>
    <row r="806" spans="1:6" x14ac:dyDescent="0.2">
      <c r="A806" s="2">
        <v>45216</v>
      </c>
      <c r="B806" s="1" t="s">
        <v>192</v>
      </c>
      <c r="C806" s="1" t="s">
        <v>994</v>
      </c>
      <c r="D806" s="4">
        <v>2850</v>
      </c>
      <c r="E806" t="str">
        <f t="shared" si="25"/>
        <v>Shared</v>
      </c>
      <c r="F806" s="13" t="str">
        <f t="shared" si="24"/>
        <v>2023-10</v>
      </c>
    </row>
    <row r="807" spans="1:6" x14ac:dyDescent="0.2">
      <c r="A807" s="2">
        <v>45216</v>
      </c>
      <c r="B807" s="1" t="s">
        <v>183</v>
      </c>
      <c r="C807" s="1" t="s">
        <v>994</v>
      </c>
      <c r="D807" s="4">
        <v>900</v>
      </c>
      <c r="E807" t="str">
        <f t="shared" si="25"/>
        <v>Shared</v>
      </c>
      <c r="F807" s="13" t="str">
        <f t="shared" si="24"/>
        <v>2023-10</v>
      </c>
    </row>
    <row r="808" spans="1:6" x14ac:dyDescent="0.2">
      <c r="A808" s="2">
        <v>45216</v>
      </c>
      <c r="B808" s="1" t="s">
        <v>484</v>
      </c>
      <c r="C808" s="1" t="s">
        <v>297</v>
      </c>
      <c r="D808" s="4">
        <v>800</v>
      </c>
      <c r="E808" t="str">
        <f t="shared" si="25"/>
        <v>Direct</v>
      </c>
      <c r="F808" s="13" t="str">
        <f t="shared" si="24"/>
        <v>2023-10</v>
      </c>
    </row>
    <row r="809" spans="1:6" x14ac:dyDescent="0.2">
      <c r="A809" s="2">
        <v>45216</v>
      </c>
      <c r="B809" s="1" t="s">
        <v>384</v>
      </c>
      <c r="C809" s="1" t="s">
        <v>297</v>
      </c>
      <c r="D809" s="4">
        <v>1100</v>
      </c>
      <c r="E809" t="str">
        <f t="shared" si="25"/>
        <v>Direct</v>
      </c>
      <c r="F809" s="13" t="str">
        <f t="shared" si="24"/>
        <v>2023-10</v>
      </c>
    </row>
    <row r="810" spans="1:6" x14ac:dyDescent="0.2">
      <c r="A810" s="2">
        <v>45216</v>
      </c>
      <c r="B810" s="1" t="s">
        <v>9</v>
      </c>
      <c r="C810" s="1" t="s">
        <v>297</v>
      </c>
      <c r="D810" s="4">
        <v>300</v>
      </c>
      <c r="E810" t="str">
        <f t="shared" si="25"/>
        <v>Direct</v>
      </c>
      <c r="F810" s="13" t="str">
        <f t="shared" si="24"/>
        <v>2023-10</v>
      </c>
    </row>
    <row r="811" spans="1:6" x14ac:dyDescent="0.2">
      <c r="A811" s="2">
        <v>45224</v>
      </c>
      <c r="B811" s="1" t="s">
        <v>193</v>
      </c>
      <c r="C811" s="1" t="s">
        <v>994</v>
      </c>
      <c r="D811" s="4">
        <v>400</v>
      </c>
      <c r="E811" t="str">
        <f t="shared" si="25"/>
        <v>Shared</v>
      </c>
      <c r="F811" s="13" t="str">
        <f t="shared" si="24"/>
        <v>2023-10</v>
      </c>
    </row>
    <row r="812" spans="1:6" x14ac:dyDescent="0.2">
      <c r="A812" s="2">
        <v>45224</v>
      </c>
      <c r="B812" s="1" t="s">
        <v>183</v>
      </c>
      <c r="C812" s="1" t="s">
        <v>994</v>
      </c>
      <c r="D812" s="4">
        <v>1500</v>
      </c>
      <c r="E812" t="str">
        <f t="shared" si="25"/>
        <v>Shared</v>
      </c>
      <c r="F812" s="13" t="str">
        <f t="shared" si="24"/>
        <v>2023-10</v>
      </c>
    </row>
    <row r="813" spans="1:6" x14ac:dyDescent="0.2">
      <c r="A813" s="2">
        <v>45225</v>
      </c>
      <c r="B813" s="1" t="s">
        <v>363</v>
      </c>
      <c r="C813" s="1" t="s">
        <v>295</v>
      </c>
      <c r="D813" s="4">
        <v>700</v>
      </c>
      <c r="E813" t="str">
        <f t="shared" si="25"/>
        <v>Direct</v>
      </c>
      <c r="F813" s="13" t="str">
        <f t="shared" si="24"/>
        <v>2023-10</v>
      </c>
    </row>
    <row r="814" spans="1:6" x14ac:dyDescent="0.2">
      <c r="A814" s="2">
        <v>45225</v>
      </c>
      <c r="B814" s="1" t="s">
        <v>486</v>
      </c>
      <c r="C814" s="1" t="s">
        <v>297</v>
      </c>
      <c r="D814" s="4">
        <v>150</v>
      </c>
      <c r="E814" t="str">
        <f t="shared" si="25"/>
        <v>Direct</v>
      </c>
      <c r="F814" s="13" t="str">
        <f t="shared" si="24"/>
        <v>2023-10</v>
      </c>
    </row>
    <row r="815" spans="1:6" x14ac:dyDescent="0.2">
      <c r="A815" s="2">
        <v>45225</v>
      </c>
      <c r="B815" s="1" t="s">
        <v>487</v>
      </c>
      <c r="C815" s="1" t="s">
        <v>296</v>
      </c>
      <c r="D815" s="4">
        <v>200</v>
      </c>
      <c r="E815" t="str">
        <f t="shared" si="25"/>
        <v>Direct</v>
      </c>
      <c r="F815" s="13" t="str">
        <f t="shared" si="24"/>
        <v>2023-10</v>
      </c>
    </row>
    <row r="816" spans="1:6" x14ac:dyDescent="0.2">
      <c r="A816" s="2">
        <v>45228</v>
      </c>
      <c r="B816" s="1" t="s">
        <v>5</v>
      </c>
      <c r="C816" s="1" t="s">
        <v>994</v>
      </c>
      <c r="D816" s="4">
        <v>1500</v>
      </c>
      <c r="E816" t="str">
        <f t="shared" si="25"/>
        <v>Shared</v>
      </c>
      <c r="F816" s="13" t="str">
        <f t="shared" si="24"/>
        <v>2023-10</v>
      </c>
    </row>
    <row r="817" spans="1:6" x14ac:dyDescent="0.2">
      <c r="A817" s="2">
        <v>45228</v>
      </c>
      <c r="B817" s="1" t="s">
        <v>298</v>
      </c>
      <c r="C817" s="1" t="s">
        <v>295</v>
      </c>
      <c r="D817" s="4">
        <v>1100</v>
      </c>
      <c r="E817" t="str">
        <f t="shared" si="25"/>
        <v>Direct</v>
      </c>
      <c r="F817" s="13" t="str">
        <f t="shared" si="24"/>
        <v>2023-10</v>
      </c>
    </row>
    <row r="818" spans="1:6" x14ac:dyDescent="0.2">
      <c r="A818" s="2">
        <v>45229</v>
      </c>
      <c r="B818" s="1" t="s">
        <v>1045</v>
      </c>
      <c r="C818" s="1" t="s">
        <v>295</v>
      </c>
      <c r="D818" s="4">
        <v>1700</v>
      </c>
      <c r="E818" t="str">
        <f t="shared" si="25"/>
        <v>Direct</v>
      </c>
      <c r="F818" s="13" t="str">
        <f t="shared" si="24"/>
        <v>2023-10</v>
      </c>
    </row>
    <row r="819" spans="1:6" x14ac:dyDescent="0.2">
      <c r="A819" s="2">
        <v>45229</v>
      </c>
      <c r="B819" s="1" t="s">
        <v>194</v>
      </c>
      <c r="C819" s="1" t="s">
        <v>994</v>
      </c>
      <c r="D819" s="4">
        <v>250</v>
      </c>
      <c r="E819" t="str">
        <f t="shared" si="25"/>
        <v>Shared</v>
      </c>
      <c r="F819" s="13" t="str">
        <f t="shared" si="24"/>
        <v>2023-10</v>
      </c>
    </row>
    <row r="820" spans="1:6" x14ac:dyDescent="0.2">
      <c r="A820" s="2">
        <v>45229</v>
      </c>
      <c r="B820" s="1" t="s">
        <v>195</v>
      </c>
      <c r="C820" s="1" t="s">
        <v>994</v>
      </c>
      <c r="D820" s="4">
        <v>1000</v>
      </c>
      <c r="E820" t="str">
        <f t="shared" si="25"/>
        <v>Shared</v>
      </c>
      <c r="F820" s="13" t="str">
        <f t="shared" si="24"/>
        <v>2023-10</v>
      </c>
    </row>
    <row r="821" spans="1:6" x14ac:dyDescent="0.2">
      <c r="A821" s="2">
        <v>45229</v>
      </c>
      <c r="B821" s="1" t="s">
        <v>488</v>
      </c>
      <c r="C821" s="1" t="s">
        <v>297</v>
      </c>
      <c r="D821" s="4">
        <v>940</v>
      </c>
      <c r="E821" t="str">
        <f t="shared" si="25"/>
        <v>Direct</v>
      </c>
      <c r="F821" s="13" t="str">
        <f t="shared" si="24"/>
        <v>2023-10</v>
      </c>
    </row>
    <row r="822" spans="1:6" x14ac:dyDescent="0.2">
      <c r="A822" s="2">
        <v>45231</v>
      </c>
      <c r="B822" s="1" t="s">
        <v>1045</v>
      </c>
      <c r="C822" s="1" t="s">
        <v>297</v>
      </c>
      <c r="D822" s="4">
        <v>1700</v>
      </c>
      <c r="E822" t="str">
        <f t="shared" si="25"/>
        <v>Direct</v>
      </c>
      <c r="F822" s="13" t="str">
        <f t="shared" si="24"/>
        <v>2023-11</v>
      </c>
    </row>
    <row r="823" spans="1:6" x14ac:dyDescent="0.2">
      <c r="A823" s="2">
        <v>45232</v>
      </c>
      <c r="B823" s="1" t="s">
        <v>196</v>
      </c>
      <c r="C823" s="1" t="s">
        <v>994</v>
      </c>
      <c r="D823" s="4">
        <v>250</v>
      </c>
      <c r="E823" t="str">
        <f t="shared" si="25"/>
        <v>Shared</v>
      </c>
      <c r="F823" s="13" t="str">
        <f t="shared" si="24"/>
        <v>2023-11</v>
      </c>
    </row>
    <row r="824" spans="1:6" x14ac:dyDescent="0.2">
      <c r="A824" s="2">
        <v>45233</v>
      </c>
      <c r="B824" s="1" t="s">
        <v>197</v>
      </c>
      <c r="C824" s="1" t="s">
        <v>994</v>
      </c>
      <c r="D824" s="4">
        <v>250</v>
      </c>
      <c r="E824" t="str">
        <f t="shared" si="25"/>
        <v>Shared</v>
      </c>
      <c r="F824" s="13" t="str">
        <f t="shared" si="24"/>
        <v>2023-11</v>
      </c>
    </row>
    <row r="825" spans="1:6" x14ac:dyDescent="0.2">
      <c r="A825" s="2">
        <v>45233</v>
      </c>
      <c r="B825" s="1" t="s">
        <v>198</v>
      </c>
      <c r="C825" s="1" t="s">
        <v>994</v>
      </c>
      <c r="D825" s="4">
        <v>900</v>
      </c>
      <c r="E825" t="str">
        <f t="shared" si="25"/>
        <v>Shared</v>
      </c>
      <c r="F825" s="13" t="str">
        <f t="shared" si="24"/>
        <v>2023-11</v>
      </c>
    </row>
    <row r="826" spans="1:6" x14ac:dyDescent="0.2">
      <c r="A826" s="2">
        <v>45237</v>
      </c>
      <c r="B826" s="1" t="s">
        <v>298</v>
      </c>
      <c r="C826" s="1" t="s">
        <v>296</v>
      </c>
      <c r="D826" s="4">
        <v>1000</v>
      </c>
      <c r="E826" t="str">
        <f t="shared" si="25"/>
        <v>Direct</v>
      </c>
      <c r="F826" s="13" t="str">
        <f t="shared" si="24"/>
        <v>2023-11</v>
      </c>
    </row>
    <row r="827" spans="1:6" x14ac:dyDescent="0.2">
      <c r="A827" s="2">
        <v>45237</v>
      </c>
      <c r="B827" s="1" t="s">
        <v>298</v>
      </c>
      <c r="C827" s="1" t="s">
        <v>295</v>
      </c>
      <c r="D827" s="4">
        <v>1100</v>
      </c>
      <c r="E827" t="str">
        <f t="shared" si="25"/>
        <v>Direct</v>
      </c>
      <c r="F827" s="13" t="str">
        <f t="shared" si="24"/>
        <v>2023-11</v>
      </c>
    </row>
    <row r="828" spans="1:6" x14ac:dyDescent="0.2">
      <c r="A828" s="2">
        <v>45237</v>
      </c>
      <c r="B828" s="1" t="s">
        <v>9</v>
      </c>
      <c r="C828" s="1" t="s">
        <v>295</v>
      </c>
      <c r="D828" s="4">
        <v>250</v>
      </c>
      <c r="E828" t="str">
        <f t="shared" si="25"/>
        <v>Direct</v>
      </c>
      <c r="F828" s="13" t="str">
        <f t="shared" si="24"/>
        <v>2023-11</v>
      </c>
    </row>
    <row r="829" spans="1:6" x14ac:dyDescent="0.2">
      <c r="A829" s="2">
        <v>45237</v>
      </c>
      <c r="B829" s="1" t="s">
        <v>9</v>
      </c>
      <c r="C829" s="1" t="s">
        <v>296</v>
      </c>
      <c r="D829" s="4">
        <v>240</v>
      </c>
      <c r="E829" t="str">
        <f t="shared" si="25"/>
        <v>Direct</v>
      </c>
      <c r="F829" s="13" t="str">
        <f t="shared" si="24"/>
        <v>2023-11</v>
      </c>
    </row>
    <row r="830" spans="1:6" x14ac:dyDescent="0.2">
      <c r="A830" s="2">
        <v>45237</v>
      </c>
      <c r="B830" s="1" t="s">
        <v>200</v>
      </c>
      <c r="C830" s="1" t="s">
        <v>994</v>
      </c>
      <c r="D830" s="4">
        <v>30</v>
      </c>
      <c r="E830" t="str">
        <f t="shared" si="25"/>
        <v>Shared</v>
      </c>
      <c r="F830" s="13" t="str">
        <f t="shared" si="24"/>
        <v>2023-11</v>
      </c>
    </row>
    <row r="831" spans="1:6" x14ac:dyDescent="0.2">
      <c r="A831" s="2">
        <v>45238</v>
      </c>
      <c r="B831" s="1" t="s">
        <v>201</v>
      </c>
      <c r="C831" s="1" t="s">
        <v>994</v>
      </c>
      <c r="D831" s="4">
        <v>1200</v>
      </c>
      <c r="E831" t="str">
        <f t="shared" si="25"/>
        <v>Shared</v>
      </c>
      <c r="F831" s="13" t="str">
        <f t="shared" si="24"/>
        <v>2023-11</v>
      </c>
    </row>
    <row r="832" spans="1:6" x14ac:dyDescent="0.2">
      <c r="A832" s="2">
        <v>45238</v>
      </c>
      <c r="B832" s="1" t="s">
        <v>202</v>
      </c>
      <c r="C832" s="1" t="s">
        <v>994</v>
      </c>
      <c r="D832" s="4">
        <v>470</v>
      </c>
      <c r="E832" t="str">
        <f t="shared" si="25"/>
        <v>Shared</v>
      </c>
      <c r="F832" s="13" t="str">
        <f t="shared" si="24"/>
        <v>2023-11</v>
      </c>
    </row>
    <row r="833" spans="1:6" x14ac:dyDescent="0.2">
      <c r="A833" s="2">
        <v>45238</v>
      </c>
      <c r="B833" s="1" t="s">
        <v>491</v>
      </c>
      <c r="C833" s="1" t="s">
        <v>295</v>
      </c>
      <c r="D833" s="4">
        <v>700</v>
      </c>
      <c r="E833" t="str">
        <f t="shared" si="25"/>
        <v>Direct</v>
      </c>
      <c r="F833" s="13" t="str">
        <f t="shared" si="24"/>
        <v>2023-11</v>
      </c>
    </row>
    <row r="834" spans="1:6" x14ac:dyDescent="0.2">
      <c r="A834" s="2">
        <v>45241</v>
      </c>
      <c r="B834" s="1" t="s">
        <v>490</v>
      </c>
      <c r="C834" s="1" t="s">
        <v>295</v>
      </c>
      <c r="D834" s="4">
        <v>400</v>
      </c>
      <c r="E834" t="str">
        <f t="shared" si="25"/>
        <v>Direct</v>
      </c>
      <c r="F834" s="13" t="str">
        <f t="shared" ref="F834:F897" si="26">YEAR(A834)&amp;"-"&amp;TEXT(MONTH(A834),"00")</f>
        <v>2023-11</v>
      </c>
    </row>
    <row r="835" spans="1:6" x14ac:dyDescent="0.2">
      <c r="A835" s="2">
        <v>45243</v>
      </c>
      <c r="B835" s="1" t="s">
        <v>298</v>
      </c>
      <c r="C835" s="1" t="s">
        <v>295</v>
      </c>
      <c r="D835" s="4">
        <v>1100</v>
      </c>
      <c r="E835" t="str">
        <f t="shared" ref="E835:E898" si="27">IF(OR(C835="A302", C835="B303", C835="C301"), "Direct", "Shared")</f>
        <v>Direct</v>
      </c>
      <c r="F835" s="13" t="str">
        <f t="shared" si="26"/>
        <v>2023-11</v>
      </c>
    </row>
    <row r="836" spans="1:6" x14ac:dyDescent="0.2">
      <c r="A836" s="2">
        <v>45243</v>
      </c>
      <c r="B836" s="1" t="s">
        <v>9</v>
      </c>
      <c r="C836" s="1" t="s">
        <v>295</v>
      </c>
      <c r="D836" s="4">
        <v>250</v>
      </c>
      <c r="E836" t="str">
        <f t="shared" si="27"/>
        <v>Direct</v>
      </c>
      <c r="F836" s="13" t="str">
        <f t="shared" si="26"/>
        <v>2023-11</v>
      </c>
    </row>
    <row r="837" spans="1:6" x14ac:dyDescent="0.2">
      <c r="A837" s="2">
        <v>45243</v>
      </c>
      <c r="B837" s="1" t="s">
        <v>985</v>
      </c>
      <c r="C837" s="1" t="s">
        <v>296</v>
      </c>
      <c r="D837" s="4">
        <v>17400</v>
      </c>
      <c r="E837" t="str">
        <f t="shared" si="27"/>
        <v>Direct</v>
      </c>
      <c r="F837" s="13" t="str">
        <f t="shared" si="26"/>
        <v>2023-11</v>
      </c>
    </row>
    <row r="838" spans="1:6" x14ac:dyDescent="0.2">
      <c r="A838" s="2">
        <v>45243</v>
      </c>
      <c r="B838" s="1" t="s">
        <v>985</v>
      </c>
      <c r="C838" s="1" t="s">
        <v>295</v>
      </c>
      <c r="D838" s="4">
        <v>33000</v>
      </c>
      <c r="E838" t="str">
        <f t="shared" si="27"/>
        <v>Direct</v>
      </c>
      <c r="F838" s="13" t="str">
        <f t="shared" si="26"/>
        <v>2023-11</v>
      </c>
    </row>
    <row r="839" spans="1:6" x14ac:dyDescent="0.2">
      <c r="A839" s="2">
        <v>45243</v>
      </c>
      <c r="B839" s="1" t="s">
        <v>985</v>
      </c>
      <c r="C839" s="1" t="s">
        <v>297</v>
      </c>
      <c r="D839" s="4">
        <v>33000</v>
      </c>
      <c r="E839" t="str">
        <f t="shared" si="27"/>
        <v>Direct</v>
      </c>
      <c r="F839" s="13" t="str">
        <f t="shared" si="26"/>
        <v>2023-11</v>
      </c>
    </row>
    <row r="840" spans="1:6" x14ac:dyDescent="0.2">
      <c r="A840" s="2">
        <v>45244</v>
      </c>
      <c r="B840" s="1" t="s">
        <v>492</v>
      </c>
      <c r="C840" s="1" t="s">
        <v>295</v>
      </c>
      <c r="D840" s="4">
        <v>550</v>
      </c>
      <c r="E840" t="str">
        <f t="shared" si="27"/>
        <v>Direct</v>
      </c>
      <c r="F840" s="13" t="str">
        <f t="shared" si="26"/>
        <v>2023-11</v>
      </c>
    </row>
    <row r="841" spans="1:6" x14ac:dyDescent="0.2">
      <c r="A841" s="2">
        <v>45245</v>
      </c>
      <c r="B841" s="1" t="s">
        <v>1046</v>
      </c>
      <c r="C841" s="1" t="s">
        <v>296</v>
      </c>
      <c r="D841" s="4">
        <v>1000</v>
      </c>
      <c r="E841" t="str">
        <f t="shared" si="27"/>
        <v>Direct</v>
      </c>
      <c r="F841" s="13" t="str">
        <f t="shared" si="26"/>
        <v>2023-11</v>
      </c>
    </row>
    <row r="842" spans="1:6" x14ac:dyDescent="0.2">
      <c r="A842" s="2">
        <v>45245</v>
      </c>
      <c r="B842" s="1" t="s">
        <v>183</v>
      </c>
      <c r="C842" s="1" t="s">
        <v>994</v>
      </c>
      <c r="D842" s="4">
        <v>1800</v>
      </c>
      <c r="E842" t="str">
        <f t="shared" si="27"/>
        <v>Shared</v>
      </c>
      <c r="F842" s="13" t="str">
        <f t="shared" si="26"/>
        <v>2023-11</v>
      </c>
    </row>
    <row r="843" spans="1:6" x14ac:dyDescent="0.2">
      <c r="A843" s="2">
        <v>45245</v>
      </c>
      <c r="B843" s="1" t="s">
        <v>450</v>
      </c>
      <c r="C843" s="1" t="s">
        <v>297</v>
      </c>
      <c r="D843" s="4">
        <v>2000</v>
      </c>
      <c r="E843" t="str">
        <f t="shared" si="27"/>
        <v>Direct</v>
      </c>
      <c r="F843" s="13" t="str">
        <f t="shared" si="26"/>
        <v>2023-11</v>
      </c>
    </row>
    <row r="844" spans="1:6" x14ac:dyDescent="0.2">
      <c r="A844" s="2">
        <v>45245</v>
      </c>
      <c r="B844" s="1" t="s">
        <v>493</v>
      </c>
      <c r="C844" s="1" t="s">
        <v>297</v>
      </c>
      <c r="D844" s="4">
        <v>360</v>
      </c>
      <c r="E844" t="str">
        <f t="shared" si="27"/>
        <v>Direct</v>
      </c>
      <c r="F844" s="13" t="str">
        <f t="shared" si="26"/>
        <v>2023-11</v>
      </c>
    </row>
    <row r="845" spans="1:6" x14ac:dyDescent="0.2">
      <c r="A845" s="2">
        <v>45247</v>
      </c>
      <c r="B845" s="1" t="s">
        <v>298</v>
      </c>
      <c r="C845" s="1" t="s">
        <v>296</v>
      </c>
      <c r="D845" s="4">
        <v>900</v>
      </c>
      <c r="E845" t="str">
        <f t="shared" si="27"/>
        <v>Direct</v>
      </c>
      <c r="F845" s="13" t="str">
        <f t="shared" si="26"/>
        <v>2023-11</v>
      </c>
    </row>
    <row r="846" spans="1:6" x14ac:dyDescent="0.2">
      <c r="A846" s="2">
        <v>45247</v>
      </c>
      <c r="B846" s="1" t="s">
        <v>203</v>
      </c>
      <c r="C846" s="1" t="s">
        <v>994</v>
      </c>
      <c r="D846" s="4">
        <v>180</v>
      </c>
      <c r="E846" t="str">
        <f t="shared" si="27"/>
        <v>Shared</v>
      </c>
      <c r="F846" s="13" t="str">
        <f t="shared" si="26"/>
        <v>2023-11</v>
      </c>
    </row>
    <row r="847" spans="1:6" x14ac:dyDescent="0.2">
      <c r="A847" s="2">
        <v>45249</v>
      </c>
      <c r="B847" s="1" t="s">
        <v>403</v>
      </c>
      <c r="C847" s="1" t="s">
        <v>295</v>
      </c>
      <c r="D847" s="4">
        <v>150</v>
      </c>
      <c r="E847" t="str">
        <f t="shared" si="27"/>
        <v>Direct</v>
      </c>
      <c r="F847" s="13" t="str">
        <f t="shared" si="26"/>
        <v>2023-11</v>
      </c>
    </row>
    <row r="848" spans="1:6" x14ac:dyDescent="0.2">
      <c r="A848" s="2">
        <v>45251</v>
      </c>
      <c r="B848" s="1" t="s">
        <v>298</v>
      </c>
      <c r="C848" s="1" t="s">
        <v>296</v>
      </c>
      <c r="D848" s="4">
        <v>900</v>
      </c>
      <c r="E848" t="str">
        <f t="shared" si="27"/>
        <v>Direct</v>
      </c>
      <c r="F848" s="13" t="str">
        <f t="shared" si="26"/>
        <v>2023-11</v>
      </c>
    </row>
    <row r="849" spans="1:6" x14ac:dyDescent="0.2">
      <c r="A849" s="2">
        <v>45251</v>
      </c>
      <c r="B849" s="1" t="s">
        <v>9</v>
      </c>
      <c r="C849" s="1" t="s">
        <v>296</v>
      </c>
      <c r="D849" s="4">
        <v>250</v>
      </c>
      <c r="E849" t="str">
        <f t="shared" si="27"/>
        <v>Direct</v>
      </c>
      <c r="F849" s="13" t="str">
        <f t="shared" si="26"/>
        <v>2023-11</v>
      </c>
    </row>
    <row r="850" spans="1:6" x14ac:dyDescent="0.2">
      <c r="A850" s="2">
        <v>45252</v>
      </c>
      <c r="B850" s="1" t="s">
        <v>298</v>
      </c>
      <c r="C850" s="1" t="s">
        <v>297</v>
      </c>
      <c r="D850" s="4">
        <v>1100</v>
      </c>
      <c r="E850" t="str">
        <f t="shared" si="27"/>
        <v>Direct</v>
      </c>
      <c r="F850" s="13" t="str">
        <f t="shared" si="26"/>
        <v>2023-11</v>
      </c>
    </row>
    <row r="851" spans="1:6" x14ac:dyDescent="0.2">
      <c r="A851" s="2">
        <v>45252</v>
      </c>
      <c r="B851" s="1" t="s">
        <v>9</v>
      </c>
      <c r="C851" s="1" t="s">
        <v>297</v>
      </c>
      <c r="D851" s="4">
        <v>300</v>
      </c>
      <c r="E851" t="str">
        <f t="shared" si="27"/>
        <v>Direct</v>
      </c>
      <c r="F851" s="13" t="str">
        <f t="shared" si="26"/>
        <v>2023-11</v>
      </c>
    </row>
    <row r="852" spans="1:6" x14ac:dyDescent="0.2">
      <c r="A852" s="2">
        <v>45259</v>
      </c>
      <c r="B852" s="1" t="s">
        <v>489</v>
      </c>
      <c r="C852" s="1" t="s">
        <v>295</v>
      </c>
      <c r="D852" s="4">
        <v>300</v>
      </c>
      <c r="E852" t="str">
        <f t="shared" si="27"/>
        <v>Direct</v>
      </c>
      <c r="F852" s="13" t="str">
        <f t="shared" si="26"/>
        <v>2023-11</v>
      </c>
    </row>
    <row r="853" spans="1:6" x14ac:dyDescent="0.2">
      <c r="A853" s="2">
        <v>45259</v>
      </c>
      <c r="B853" s="1" t="s">
        <v>199</v>
      </c>
      <c r="C853" s="1" t="s">
        <v>994</v>
      </c>
      <c r="D853" s="4">
        <v>438</v>
      </c>
      <c r="E853" t="str">
        <f t="shared" si="27"/>
        <v>Shared</v>
      </c>
      <c r="F853" s="13" t="str">
        <f t="shared" si="26"/>
        <v>2023-11</v>
      </c>
    </row>
    <row r="854" spans="1:6" x14ac:dyDescent="0.2">
      <c r="A854" s="2">
        <v>45261</v>
      </c>
      <c r="B854" s="1" t="s">
        <v>298</v>
      </c>
      <c r="C854" s="1" t="s">
        <v>297</v>
      </c>
      <c r="D854" s="4">
        <v>1100</v>
      </c>
      <c r="E854" t="str">
        <f t="shared" si="27"/>
        <v>Direct</v>
      </c>
      <c r="F854" s="13" t="str">
        <f t="shared" si="26"/>
        <v>2023-12</v>
      </c>
    </row>
    <row r="855" spans="1:6" x14ac:dyDescent="0.2">
      <c r="A855" s="2">
        <v>45261</v>
      </c>
      <c r="B855" s="1" t="s">
        <v>363</v>
      </c>
      <c r="C855" s="1" t="s">
        <v>295</v>
      </c>
      <c r="D855" s="4">
        <v>700</v>
      </c>
      <c r="E855" t="str">
        <f t="shared" si="27"/>
        <v>Direct</v>
      </c>
      <c r="F855" s="13" t="str">
        <f t="shared" si="26"/>
        <v>2023-12</v>
      </c>
    </row>
    <row r="856" spans="1:6" x14ac:dyDescent="0.2">
      <c r="A856" s="2">
        <v>45262</v>
      </c>
      <c r="B856" s="1" t="s">
        <v>494</v>
      </c>
      <c r="C856" s="1" t="s">
        <v>295</v>
      </c>
      <c r="D856" s="4">
        <v>1500</v>
      </c>
      <c r="E856" t="str">
        <f t="shared" si="27"/>
        <v>Direct</v>
      </c>
      <c r="F856" s="13" t="str">
        <f t="shared" si="26"/>
        <v>2023-12</v>
      </c>
    </row>
    <row r="857" spans="1:6" x14ac:dyDescent="0.2">
      <c r="A857" s="2">
        <v>45264</v>
      </c>
      <c r="B857" s="1" t="s">
        <v>314</v>
      </c>
      <c r="C857" s="1" t="s">
        <v>295</v>
      </c>
      <c r="D857" s="4">
        <v>2000</v>
      </c>
      <c r="E857" t="str">
        <f t="shared" si="27"/>
        <v>Direct</v>
      </c>
      <c r="F857" s="13" t="str">
        <f t="shared" si="26"/>
        <v>2023-12</v>
      </c>
    </row>
    <row r="858" spans="1:6" x14ac:dyDescent="0.2">
      <c r="A858" s="2">
        <v>45264</v>
      </c>
      <c r="B858" s="1" t="s">
        <v>298</v>
      </c>
      <c r="C858" s="1" t="s">
        <v>296</v>
      </c>
      <c r="D858" s="4">
        <v>1100</v>
      </c>
      <c r="E858" t="str">
        <f t="shared" si="27"/>
        <v>Direct</v>
      </c>
      <c r="F858" s="13" t="str">
        <f t="shared" si="26"/>
        <v>2023-12</v>
      </c>
    </row>
    <row r="859" spans="1:6" x14ac:dyDescent="0.2">
      <c r="A859" s="2">
        <v>45266</v>
      </c>
      <c r="B859" s="1" t="s">
        <v>495</v>
      </c>
      <c r="C859" s="1" t="s">
        <v>296</v>
      </c>
      <c r="D859" s="4">
        <v>1500</v>
      </c>
      <c r="E859" t="str">
        <f t="shared" si="27"/>
        <v>Direct</v>
      </c>
      <c r="F859" s="13" t="str">
        <f t="shared" si="26"/>
        <v>2023-12</v>
      </c>
    </row>
    <row r="860" spans="1:6" x14ac:dyDescent="0.2">
      <c r="A860" s="2">
        <v>45266</v>
      </c>
      <c r="B860" s="1" t="s">
        <v>495</v>
      </c>
      <c r="C860" s="1" t="s">
        <v>295</v>
      </c>
      <c r="D860" s="4">
        <v>1500</v>
      </c>
      <c r="E860" t="str">
        <f t="shared" si="27"/>
        <v>Direct</v>
      </c>
      <c r="F860" s="13" t="str">
        <f t="shared" si="26"/>
        <v>2023-12</v>
      </c>
    </row>
    <row r="861" spans="1:6" x14ac:dyDescent="0.2">
      <c r="A861" s="2">
        <v>45266</v>
      </c>
      <c r="B861" s="1" t="s">
        <v>9</v>
      </c>
      <c r="C861" s="1" t="s">
        <v>295</v>
      </c>
      <c r="D861" s="4">
        <v>260</v>
      </c>
      <c r="E861" t="str">
        <f t="shared" si="27"/>
        <v>Direct</v>
      </c>
      <c r="F861" s="13" t="str">
        <f t="shared" si="26"/>
        <v>2023-12</v>
      </c>
    </row>
    <row r="862" spans="1:6" x14ac:dyDescent="0.2">
      <c r="A862" s="2">
        <v>45266</v>
      </c>
      <c r="B862" s="1" t="s">
        <v>9</v>
      </c>
      <c r="C862" s="1" t="s">
        <v>297</v>
      </c>
      <c r="D862" s="4">
        <v>220</v>
      </c>
      <c r="E862" t="str">
        <f t="shared" si="27"/>
        <v>Direct</v>
      </c>
      <c r="F862" s="13" t="str">
        <f t="shared" si="26"/>
        <v>2023-12</v>
      </c>
    </row>
    <row r="863" spans="1:6" x14ac:dyDescent="0.2">
      <c r="A863" s="2">
        <v>45266</v>
      </c>
      <c r="B863" s="1" t="s">
        <v>9</v>
      </c>
      <c r="C863" s="1" t="s">
        <v>296</v>
      </c>
      <c r="D863" s="4">
        <v>250</v>
      </c>
      <c r="E863" t="str">
        <f t="shared" si="27"/>
        <v>Direct</v>
      </c>
      <c r="F863" s="13" t="str">
        <f t="shared" si="26"/>
        <v>2023-12</v>
      </c>
    </row>
    <row r="864" spans="1:6" x14ac:dyDescent="0.2">
      <c r="A864" s="2">
        <v>45266</v>
      </c>
      <c r="B864" s="1" t="s">
        <v>366</v>
      </c>
      <c r="C864" s="1" t="s">
        <v>295</v>
      </c>
      <c r="D864" s="4">
        <v>160</v>
      </c>
      <c r="E864" t="str">
        <f t="shared" si="27"/>
        <v>Direct</v>
      </c>
      <c r="F864" s="13" t="str">
        <f t="shared" si="26"/>
        <v>2023-12</v>
      </c>
    </row>
    <row r="865" spans="1:6" x14ac:dyDescent="0.2">
      <c r="A865" s="2">
        <v>45267</v>
      </c>
      <c r="B865" s="1" t="s">
        <v>204</v>
      </c>
      <c r="C865" s="1" t="s">
        <v>994</v>
      </c>
      <c r="D865" s="4">
        <v>800</v>
      </c>
      <c r="E865" t="str">
        <f t="shared" si="27"/>
        <v>Shared</v>
      </c>
      <c r="F865" s="13" t="str">
        <f t="shared" si="26"/>
        <v>2023-12</v>
      </c>
    </row>
    <row r="866" spans="1:6" x14ac:dyDescent="0.2">
      <c r="A866" s="2">
        <v>45267</v>
      </c>
      <c r="B866" s="1" t="s">
        <v>496</v>
      </c>
      <c r="C866" s="1" t="s">
        <v>297</v>
      </c>
      <c r="D866" s="4">
        <v>200</v>
      </c>
      <c r="E866" t="str">
        <f t="shared" si="27"/>
        <v>Direct</v>
      </c>
      <c r="F866" s="13" t="str">
        <f t="shared" si="26"/>
        <v>2023-12</v>
      </c>
    </row>
    <row r="867" spans="1:6" x14ac:dyDescent="0.2">
      <c r="A867" s="2">
        <v>45267</v>
      </c>
      <c r="B867" s="1" t="s">
        <v>205</v>
      </c>
      <c r="C867" s="1" t="s">
        <v>994</v>
      </c>
      <c r="D867" s="4">
        <v>300</v>
      </c>
      <c r="E867" t="str">
        <f t="shared" si="27"/>
        <v>Shared</v>
      </c>
      <c r="F867" s="13" t="str">
        <f t="shared" si="26"/>
        <v>2023-12</v>
      </c>
    </row>
    <row r="868" spans="1:6" x14ac:dyDescent="0.2">
      <c r="A868" s="2">
        <v>45268</v>
      </c>
      <c r="B868" s="1" t="s">
        <v>497</v>
      </c>
      <c r="C868" s="1" t="s">
        <v>295</v>
      </c>
      <c r="D868" s="4">
        <v>550</v>
      </c>
      <c r="E868" t="str">
        <f t="shared" si="27"/>
        <v>Direct</v>
      </c>
      <c r="F868" s="13" t="str">
        <f t="shared" si="26"/>
        <v>2023-12</v>
      </c>
    </row>
    <row r="869" spans="1:6" x14ac:dyDescent="0.2">
      <c r="A869" s="2">
        <v>45269</v>
      </c>
      <c r="B869" s="1" t="s">
        <v>206</v>
      </c>
      <c r="C869" s="1" t="s">
        <v>994</v>
      </c>
      <c r="D869" s="4">
        <v>160</v>
      </c>
      <c r="E869" t="str">
        <f t="shared" si="27"/>
        <v>Shared</v>
      </c>
      <c r="F869" s="13" t="str">
        <f t="shared" si="26"/>
        <v>2023-12</v>
      </c>
    </row>
    <row r="870" spans="1:6" x14ac:dyDescent="0.2">
      <c r="A870" s="2">
        <v>45269</v>
      </c>
      <c r="B870" s="1" t="s">
        <v>498</v>
      </c>
      <c r="C870" s="1" t="s">
        <v>296</v>
      </c>
      <c r="D870" s="4">
        <v>150</v>
      </c>
      <c r="E870" t="str">
        <f t="shared" si="27"/>
        <v>Direct</v>
      </c>
      <c r="F870" s="13" t="str">
        <f t="shared" si="26"/>
        <v>2023-12</v>
      </c>
    </row>
    <row r="871" spans="1:6" x14ac:dyDescent="0.2">
      <c r="A871" s="2">
        <v>45270</v>
      </c>
      <c r="B871" s="1" t="s">
        <v>314</v>
      </c>
      <c r="C871" s="1" t="s">
        <v>295</v>
      </c>
      <c r="D871" s="4">
        <v>2000</v>
      </c>
      <c r="E871" t="str">
        <f t="shared" si="27"/>
        <v>Direct</v>
      </c>
      <c r="F871" s="13" t="str">
        <f t="shared" si="26"/>
        <v>2023-12</v>
      </c>
    </row>
    <row r="872" spans="1:6" x14ac:dyDescent="0.2">
      <c r="A872" s="2">
        <v>45270</v>
      </c>
      <c r="B872" s="1" t="s">
        <v>315</v>
      </c>
      <c r="C872" s="1" t="s">
        <v>295</v>
      </c>
      <c r="D872" s="4">
        <v>290</v>
      </c>
      <c r="E872" t="str">
        <f t="shared" si="27"/>
        <v>Direct</v>
      </c>
      <c r="F872" s="13" t="str">
        <f t="shared" si="26"/>
        <v>2023-12</v>
      </c>
    </row>
    <row r="873" spans="1:6" x14ac:dyDescent="0.2">
      <c r="A873" s="2">
        <v>45273</v>
      </c>
      <c r="B873" s="1" t="s">
        <v>985</v>
      </c>
      <c r="C873" s="1" t="s">
        <v>296</v>
      </c>
      <c r="D873" s="4">
        <v>17400</v>
      </c>
      <c r="E873" t="str">
        <f t="shared" si="27"/>
        <v>Direct</v>
      </c>
      <c r="F873" s="13" t="str">
        <f t="shared" si="26"/>
        <v>2023-12</v>
      </c>
    </row>
    <row r="874" spans="1:6" x14ac:dyDescent="0.2">
      <c r="A874" s="2">
        <v>45273</v>
      </c>
      <c r="B874" s="1" t="s">
        <v>985</v>
      </c>
      <c r="C874" s="1" t="s">
        <v>295</v>
      </c>
      <c r="D874" s="4">
        <v>33000</v>
      </c>
      <c r="E874" t="str">
        <f t="shared" si="27"/>
        <v>Direct</v>
      </c>
      <c r="F874" s="13" t="str">
        <f t="shared" si="26"/>
        <v>2023-12</v>
      </c>
    </row>
    <row r="875" spans="1:6" x14ac:dyDescent="0.2">
      <c r="A875" s="2">
        <v>45273</v>
      </c>
      <c r="B875" s="1" t="s">
        <v>985</v>
      </c>
      <c r="C875" s="1" t="s">
        <v>297</v>
      </c>
      <c r="D875" s="4">
        <v>33000</v>
      </c>
      <c r="E875" t="str">
        <f t="shared" si="27"/>
        <v>Direct</v>
      </c>
      <c r="F875" s="13" t="str">
        <f t="shared" si="26"/>
        <v>2023-12</v>
      </c>
    </row>
    <row r="876" spans="1:6" x14ac:dyDescent="0.2">
      <c r="A876" s="2">
        <v>45279</v>
      </c>
      <c r="B876" s="1" t="s">
        <v>499</v>
      </c>
      <c r="C876" s="1" t="s">
        <v>296</v>
      </c>
      <c r="D876" s="4">
        <v>500</v>
      </c>
      <c r="E876" t="str">
        <f t="shared" si="27"/>
        <v>Direct</v>
      </c>
      <c r="F876" s="13" t="str">
        <f t="shared" si="26"/>
        <v>2023-12</v>
      </c>
    </row>
    <row r="877" spans="1:6" x14ac:dyDescent="0.2">
      <c r="A877" s="2">
        <v>45279</v>
      </c>
      <c r="B877" s="1" t="s">
        <v>500</v>
      </c>
      <c r="C877" s="1" t="s">
        <v>297</v>
      </c>
      <c r="D877" s="4">
        <v>3200</v>
      </c>
      <c r="E877" t="str">
        <f t="shared" si="27"/>
        <v>Direct</v>
      </c>
      <c r="F877" s="13" t="str">
        <f t="shared" si="26"/>
        <v>2023-12</v>
      </c>
    </row>
    <row r="878" spans="1:6" x14ac:dyDescent="0.2">
      <c r="A878" s="2">
        <v>45282</v>
      </c>
      <c r="B878" s="1" t="s">
        <v>501</v>
      </c>
      <c r="C878" s="1" t="s">
        <v>296</v>
      </c>
      <c r="D878" s="4">
        <v>400</v>
      </c>
      <c r="E878" t="str">
        <f t="shared" si="27"/>
        <v>Direct</v>
      </c>
      <c r="F878" s="13" t="str">
        <f t="shared" si="26"/>
        <v>2023-12</v>
      </c>
    </row>
    <row r="879" spans="1:6" x14ac:dyDescent="0.2">
      <c r="A879" s="2">
        <v>45282</v>
      </c>
      <c r="B879" s="1" t="s">
        <v>502</v>
      </c>
      <c r="C879" s="1" t="s">
        <v>295</v>
      </c>
      <c r="D879" s="4">
        <v>200</v>
      </c>
      <c r="E879" t="str">
        <f t="shared" si="27"/>
        <v>Direct</v>
      </c>
      <c r="F879" s="13" t="str">
        <f t="shared" si="26"/>
        <v>2023-12</v>
      </c>
    </row>
    <row r="880" spans="1:6" x14ac:dyDescent="0.2">
      <c r="A880" s="2">
        <v>45282</v>
      </c>
      <c r="B880" s="1" t="s">
        <v>503</v>
      </c>
      <c r="C880" s="1" t="s">
        <v>295</v>
      </c>
      <c r="D880" s="4">
        <v>350</v>
      </c>
      <c r="E880" t="str">
        <f t="shared" si="27"/>
        <v>Direct</v>
      </c>
      <c r="F880" s="13" t="str">
        <f t="shared" si="26"/>
        <v>2023-12</v>
      </c>
    </row>
    <row r="881" spans="1:6" x14ac:dyDescent="0.2">
      <c r="A881" s="2">
        <v>45283</v>
      </c>
      <c r="B881" s="1" t="s">
        <v>504</v>
      </c>
      <c r="C881" s="1" t="s">
        <v>296</v>
      </c>
      <c r="D881" s="4">
        <v>1250</v>
      </c>
      <c r="E881" t="str">
        <f t="shared" si="27"/>
        <v>Direct</v>
      </c>
      <c r="F881" s="13" t="str">
        <f t="shared" si="26"/>
        <v>2023-12</v>
      </c>
    </row>
    <row r="882" spans="1:6" x14ac:dyDescent="0.2">
      <c r="A882" s="2">
        <v>45284</v>
      </c>
      <c r="B882" s="1" t="s">
        <v>505</v>
      </c>
      <c r="C882" s="1" t="s">
        <v>296</v>
      </c>
      <c r="D882" s="4">
        <v>350</v>
      </c>
      <c r="E882" t="str">
        <f t="shared" si="27"/>
        <v>Direct</v>
      </c>
      <c r="F882" s="13" t="str">
        <f t="shared" si="26"/>
        <v>2023-12</v>
      </c>
    </row>
    <row r="883" spans="1:6" x14ac:dyDescent="0.2">
      <c r="A883" s="2">
        <v>45285</v>
      </c>
      <c r="B883" s="1" t="s">
        <v>315</v>
      </c>
      <c r="C883" s="1" t="s">
        <v>295</v>
      </c>
      <c r="D883" s="4">
        <v>390</v>
      </c>
      <c r="E883" t="str">
        <f t="shared" si="27"/>
        <v>Direct</v>
      </c>
      <c r="F883" s="13" t="str">
        <f t="shared" si="26"/>
        <v>2023-12</v>
      </c>
    </row>
    <row r="884" spans="1:6" x14ac:dyDescent="0.2">
      <c r="A884" s="2">
        <v>45286</v>
      </c>
      <c r="B884" s="1" t="s">
        <v>314</v>
      </c>
      <c r="C884" s="1" t="s">
        <v>295</v>
      </c>
      <c r="D884" s="4">
        <v>2000</v>
      </c>
      <c r="E884" t="str">
        <f t="shared" si="27"/>
        <v>Direct</v>
      </c>
      <c r="F884" s="13" t="str">
        <f t="shared" si="26"/>
        <v>2023-12</v>
      </c>
    </row>
    <row r="885" spans="1:6" x14ac:dyDescent="0.2">
      <c r="A885" s="2">
        <v>45286</v>
      </c>
      <c r="B885" s="1" t="s">
        <v>9</v>
      </c>
      <c r="C885" s="1" t="s">
        <v>295</v>
      </c>
      <c r="D885" s="4">
        <v>200</v>
      </c>
      <c r="E885" t="str">
        <f t="shared" si="27"/>
        <v>Direct</v>
      </c>
      <c r="F885" s="13" t="str">
        <f t="shared" si="26"/>
        <v>2023-12</v>
      </c>
    </row>
    <row r="886" spans="1:6" x14ac:dyDescent="0.2">
      <c r="A886" s="2">
        <v>45289</v>
      </c>
      <c r="B886" s="1" t="s">
        <v>298</v>
      </c>
      <c r="C886" s="1" t="s">
        <v>296</v>
      </c>
      <c r="D886" s="4">
        <v>1100</v>
      </c>
      <c r="E886" t="str">
        <f t="shared" si="27"/>
        <v>Direct</v>
      </c>
      <c r="F886" s="13" t="str">
        <f t="shared" si="26"/>
        <v>2023-12</v>
      </c>
    </row>
    <row r="887" spans="1:6" x14ac:dyDescent="0.2">
      <c r="A887" s="2">
        <v>45289</v>
      </c>
      <c r="B887" s="1" t="s">
        <v>1047</v>
      </c>
      <c r="C887" s="1" t="s">
        <v>297</v>
      </c>
      <c r="D887" s="4">
        <v>1600</v>
      </c>
      <c r="E887" t="str">
        <f t="shared" si="27"/>
        <v>Direct</v>
      </c>
      <c r="F887" s="13" t="str">
        <f t="shared" si="26"/>
        <v>2023-12</v>
      </c>
    </row>
    <row r="888" spans="1:6" x14ac:dyDescent="0.2">
      <c r="A888" s="2">
        <v>45289</v>
      </c>
      <c r="B888" s="1" t="s">
        <v>206</v>
      </c>
      <c r="C888" s="1" t="s">
        <v>994</v>
      </c>
      <c r="D888" s="4">
        <v>200</v>
      </c>
      <c r="E888" t="str">
        <f t="shared" si="27"/>
        <v>Shared</v>
      </c>
      <c r="F888" s="13" t="str">
        <f t="shared" si="26"/>
        <v>2023-12</v>
      </c>
    </row>
    <row r="889" spans="1:6" x14ac:dyDescent="0.2">
      <c r="A889" s="2">
        <v>45289</v>
      </c>
      <c r="B889" s="1" t="s">
        <v>506</v>
      </c>
      <c r="C889" s="1" t="s">
        <v>296</v>
      </c>
      <c r="D889" s="4">
        <v>260</v>
      </c>
      <c r="E889" t="str">
        <f t="shared" si="27"/>
        <v>Direct</v>
      </c>
      <c r="F889" s="13" t="str">
        <f t="shared" si="26"/>
        <v>2023-12</v>
      </c>
    </row>
    <row r="890" spans="1:6" x14ac:dyDescent="0.2">
      <c r="A890" s="2">
        <v>45289</v>
      </c>
      <c r="B890" s="1" t="s">
        <v>9</v>
      </c>
      <c r="C890" s="1" t="s">
        <v>295</v>
      </c>
      <c r="D890" s="4">
        <v>260</v>
      </c>
      <c r="E890" t="str">
        <f t="shared" si="27"/>
        <v>Direct</v>
      </c>
      <c r="F890" s="13" t="str">
        <f t="shared" si="26"/>
        <v>2023-12</v>
      </c>
    </row>
    <row r="891" spans="1:6" x14ac:dyDescent="0.2">
      <c r="A891" s="2">
        <v>45293</v>
      </c>
      <c r="B891" s="1" t="s">
        <v>363</v>
      </c>
      <c r="C891" s="1" t="s">
        <v>297</v>
      </c>
      <c r="D891" s="4">
        <v>800</v>
      </c>
      <c r="E891" t="str">
        <f t="shared" si="27"/>
        <v>Direct</v>
      </c>
      <c r="F891" s="13" t="str">
        <f t="shared" si="26"/>
        <v>2024-01</v>
      </c>
    </row>
    <row r="892" spans="1:6" x14ac:dyDescent="0.2">
      <c r="A892" s="2">
        <v>45293</v>
      </c>
      <c r="B892" s="1" t="s">
        <v>314</v>
      </c>
      <c r="C892" s="1" t="s">
        <v>295</v>
      </c>
      <c r="D892" s="4">
        <v>2000</v>
      </c>
      <c r="E892" t="str">
        <f t="shared" si="27"/>
        <v>Direct</v>
      </c>
      <c r="F892" s="13" t="str">
        <f t="shared" si="26"/>
        <v>2024-01</v>
      </c>
    </row>
    <row r="893" spans="1:6" x14ac:dyDescent="0.2">
      <c r="A893" s="2">
        <v>45293</v>
      </c>
      <c r="B893" s="1" t="s">
        <v>207</v>
      </c>
      <c r="C893" s="1" t="s">
        <v>994</v>
      </c>
      <c r="D893" s="4">
        <v>700</v>
      </c>
      <c r="E893" t="str">
        <f t="shared" si="27"/>
        <v>Shared</v>
      </c>
      <c r="F893" s="13" t="str">
        <f t="shared" si="26"/>
        <v>2024-01</v>
      </c>
    </row>
    <row r="894" spans="1:6" x14ac:dyDescent="0.2">
      <c r="A894" s="2">
        <v>45293</v>
      </c>
      <c r="B894" s="1" t="s">
        <v>208</v>
      </c>
      <c r="C894" s="1" t="s">
        <v>994</v>
      </c>
      <c r="D894" s="4">
        <v>260</v>
      </c>
      <c r="E894" t="str">
        <f t="shared" si="27"/>
        <v>Shared</v>
      </c>
      <c r="F894" s="13" t="str">
        <f t="shared" si="26"/>
        <v>2024-01</v>
      </c>
    </row>
    <row r="895" spans="1:6" x14ac:dyDescent="0.2">
      <c r="A895" s="2">
        <v>45293</v>
      </c>
      <c r="B895" s="1" t="s">
        <v>507</v>
      </c>
      <c r="C895" s="1" t="s">
        <v>296</v>
      </c>
      <c r="D895" s="4">
        <v>100</v>
      </c>
      <c r="E895" t="str">
        <f t="shared" si="27"/>
        <v>Direct</v>
      </c>
      <c r="F895" s="13" t="str">
        <f t="shared" si="26"/>
        <v>2024-01</v>
      </c>
    </row>
    <row r="896" spans="1:6" x14ac:dyDescent="0.2">
      <c r="A896" s="2">
        <v>45293</v>
      </c>
      <c r="B896" s="1" t="s">
        <v>508</v>
      </c>
      <c r="C896" s="1" t="s">
        <v>295</v>
      </c>
      <c r="D896" s="4">
        <v>700</v>
      </c>
      <c r="E896" t="str">
        <f t="shared" si="27"/>
        <v>Direct</v>
      </c>
      <c r="F896" s="13" t="str">
        <f t="shared" si="26"/>
        <v>2024-01</v>
      </c>
    </row>
    <row r="897" spans="1:6" x14ac:dyDescent="0.2">
      <c r="A897" s="2">
        <v>45293</v>
      </c>
      <c r="B897" s="1" t="s">
        <v>509</v>
      </c>
      <c r="C897" s="1" t="s">
        <v>297</v>
      </c>
      <c r="D897" s="4">
        <v>150</v>
      </c>
      <c r="E897" t="str">
        <f t="shared" si="27"/>
        <v>Direct</v>
      </c>
      <c r="F897" s="13" t="str">
        <f t="shared" si="26"/>
        <v>2024-01</v>
      </c>
    </row>
    <row r="898" spans="1:6" x14ac:dyDescent="0.2">
      <c r="A898" s="2">
        <v>45293</v>
      </c>
      <c r="B898" s="1" t="s">
        <v>1048</v>
      </c>
      <c r="C898" s="1" t="s">
        <v>295</v>
      </c>
      <c r="D898" s="4">
        <v>5500</v>
      </c>
      <c r="E898" t="str">
        <f t="shared" si="27"/>
        <v>Direct</v>
      </c>
      <c r="F898" s="13" t="str">
        <f t="shared" ref="F898:F961" si="28">YEAR(A898)&amp;"-"&amp;TEXT(MONTH(A898),"00")</f>
        <v>2024-01</v>
      </c>
    </row>
    <row r="899" spans="1:6" x14ac:dyDescent="0.2">
      <c r="A899" s="2">
        <v>45294</v>
      </c>
      <c r="B899" s="1" t="s">
        <v>366</v>
      </c>
      <c r="C899" s="1" t="s">
        <v>297</v>
      </c>
      <c r="D899" s="4">
        <v>180</v>
      </c>
      <c r="E899" t="str">
        <f t="shared" ref="E899:E962" si="29">IF(OR(C899="A302", C899="B303", C899="C301"), "Direct", "Shared")</f>
        <v>Direct</v>
      </c>
      <c r="F899" s="13" t="str">
        <f t="shared" si="28"/>
        <v>2024-01</v>
      </c>
    </row>
    <row r="900" spans="1:6" x14ac:dyDescent="0.2">
      <c r="A900" s="2">
        <v>45294</v>
      </c>
      <c r="B900" s="1" t="s">
        <v>315</v>
      </c>
      <c r="C900" s="1" t="s">
        <v>295</v>
      </c>
      <c r="D900" s="4">
        <v>520</v>
      </c>
      <c r="E900" t="str">
        <f t="shared" si="29"/>
        <v>Direct</v>
      </c>
      <c r="F900" s="13" t="str">
        <f t="shared" si="28"/>
        <v>2024-01</v>
      </c>
    </row>
    <row r="901" spans="1:6" x14ac:dyDescent="0.2">
      <c r="A901" s="2">
        <v>45295</v>
      </c>
      <c r="B901" s="1" t="s">
        <v>363</v>
      </c>
      <c r="C901" s="1" t="s">
        <v>295</v>
      </c>
      <c r="D901" s="4">
        <v>800</v>
      </c>
      <c r="E901" t="str">
        <f t="shared" si="29"/>
        <v>Direct</v>
      </c>
      <c r="F901" s="13" t="str">
        <f t="shared" si="28"/>
        <v>2024-01</v>
      </c>
    </row>
    <row r="902" spans="1:6" x14ac:dyDescent="0.2">
      <c r="A902" s="2">
        <v>45295</v>
      </c>
      <c r="B902" s="1" t="s">
        <v>298</v>
      </c>
      <c r="C902" s="1" t="s">
        <v>296</v>
      </c>
      <c r="D902" s="4">
        <v>1100</v>
      </c>
      <c r="E902" t="str">
        <f t="shared" si="29"/>
        <v>Direct</v>
      </c>
      <c r="F902" s="13" t="str">
        <f t="shared" si="28"/>
        <v>2024-01</v>
      </c>
    </row>
    <row r="903" spans="1:6" x14ac:dyDescent="0.2">
      <c r="A903" s="2">
        <v>45295</v>
      </c>
      <c r="B903" s="1" t="s">
        <v>183</v>
      </c>
      <c r="C903" s="1" t="s">
        <v>994</v>
      </c>
      <c r="D903" s="4">
        <v>4800</v>
      </c>
      <c r="E903" t="str">
        <f t="shared" si="29"/>
        <v>Shared</v>
      </c>
      <c r="F903" s="13" t="str">
        <f t="shared" si="28"/>
        <v>2024-01</v>
      </c>
    </row>
    <row r="904" spans="1:6" x14ac:dyDescent="0.2">
      <c r="A904" s="2">
        <v>45296</v>
      </c>
      <c r="B904" s="1" t="s">
        <v>384</v>
      </c>
      <c r="C904" s="1" t="s">
        <v>295</v>
      </c>
      <c r="D904" s="4">
        <v>1100</v>
      </c>
      <c r="E904" t="str">
        <f t="shared" si="29"/>
        <v>Direct</v>
      </c>
      <c r="F904" s="13" t="str">
        <f t="shared" si="28"/>
        <v>2024-01</v>
      </c>
    </row>
    <row r="905" spans="1:6" x14ac:dyDescent="0.2">
      <c r="A905" s="2">
        <v>45296</v>
      </c>
      <c r="B905" s="1" t="s">
        <v>9</v>
      </c>
      <c r="C905" s="1" t="s">
        <v>296</v>
      </c>
      <c r="D905" s="4">
        <v>150</v>
      </c>
      <c r="E905" t="str">
        <f t="shared" si="29"/>
        <v>Direct</v>
      </c>
      <c r="F905" s="13" t="str">
        <f t="shared" si="28"/>
        <v>2024-01</v>
      </c>
    </row>
    <row r="906" spans="1:6" x14ac:dyDescent="0.2">
      <c r="A906" s="2">
        <v>45296</v>
      </c>
      <c r="B906" s="1" t="s">
        <v>366</v>
      </c>
      <c r="C906" s="1" t="s">
        <v>295</v>
      </c>
      <c r="D906" s="4">
        <v>150</v>
      </c>
      <c r="E906" t="str">
        <f t="shared" si="29"/>
        <v>Direct</v>
      </c>
      <c r="F906" s="13" t="str">
        <f t="shared" si="28"/>
        <v>2024-01</v>
      </c>
    </row>
    <row r="907" spans="1:6" x14ac:dyDescent="0.2">
      <c r="A907" s="2">
        <v>45296</v>
      </c>
      <c r="B907" s="1" t="s">
        <v>510</v>
      </c>
      <c r="C907" s="1" t="s">
        <v>295</v>
      </c>
      <c r="D907" s="4">
        <v>600</v>
      </c>
      <c r="E907" t="str">
        <f t="shared" si="29"/>
        <v>Direct</v>
      </c>
      <c r="F907" s="13" t="str">
        <f t="shared" si="28"/>
        <v>2024-01</v>
      </c>
    </row>
    <row r="908" spans="1:6" x14ac:dyDescent="0.2">
      <c r="A908" s="2">
        <v>45296</v>
      </c>
      <c r="B908" s="1" t="s">
        <v>209</v>
      </c>
      <c r="C908" s="1" t="s">
        <v>994</v>
      </c>
      <c r="D908" s="4">
        <v>2000</v>
      </c>
      <c r="E908" t="str">
        <f t="shared" si="29"/>
        <v>Shared</v>
      </c>
      <c r="F908" s="13" t="str">
        <f t="shared" si="28"/>
        <v>2024-01</v>
      </c>
    </row>
    <row r="909" spans="1:6" x14ac:dyDescent="0.2">
      <c r="A909" s="2">
        <v>45296</v>
      </c>
      <c r="B909" s="1" t="s">
        <v>511</v>
      </c>
      <c r="C909" s="1" t="s">
        <v>297</v>
      </c>
      <c r="D909" s="4">
        <v>1800</v>
      </c>
      <c r="E909" t="str">
        <f t="shared" si="29"/>
        <v>Direct</v>
      </c>
      <c r="F909" s="13" t="str">
        <f t="shared" si="28"/>
        <v>2024-01</v>
      </c>
    </row>
    <row r="910" spans="1:6" x14ac:dyDescent="0.2">
      <c r="A910" s="2">
        <v>45297</v>
      </c>
      <c r="B910" s="1" t="s">
        <v>210</v>
      </c>
      <c r="C910" s="1" t="s">
        <v>994</v>
      </c>
      <c r="D910" s="4">
        <v>3700</v>
      </c>
      <c r="E910" t="str">
        <f t="shared" si="29"/>
        <v>Shared</v>
      </c>
      <c r="F910" s="13" t="str">
        <f t="shared" si="28"/>
        <v>2024-01</v>
      </c>
    </row>
    <row r="911" spans="1:6" x14ac:dyDescent="0.2">
      <c r="A911" s="2">
        <v>45297</v>
      </c>
      <c r="B911" s="1" t="s">
        <v>363</v>
      </c>
      <c r="C911" s="1" t="s">
        <v>297</v>
      </c>
      <c r="D911" s="4">
        <v>800</v>
      </c>
      <c r="E911" t="str">
        <f t="shared" si="29"/>
        <v>Direct</v>
      </c>
      <c r="F911" s="13" t="str">
        <f t="shared" si="28"/>
        <v>2024-01</v>
      </c>
    </row>
    <row r="912" spans="1:6" x14ac:dyDescent="0.2">
      <c r="A912" s="2">
        <v>45297</v>
      </c>
      <c r="B912" s="1" t="s">
        <v>366</v>
      </c>
      <c r="C912" s="1" t="s">
        <v>297</v>
      </c>
      <c r="D912" s="4">
        <v>230</v>
      </c>
      <c r="E912" t="str">
        <f t="shared" si="29"/>
        <v>Direct</v>
      </c>
      <c r="F912" s="13" t="str">
        <f t="shared" si="28"/>
        <v>2024-01</v>
      </c>
    </row>
    <row r="913" spans="1:6" x14ac:dyDescent="0.2">
      <c r="A913" s="2">
        <v>45297</v>
      </c>
      <c r="B913" s="1" t="s">
        <v>211</v>
      </c>
      <c r="C913" s="1" t="s">
        <v>994</v>
      </c>
      <c r="D913" s="4">
        <v>150</v>
      </c>
      <c r="E913" t="str">
        <f t="shared" si="29"/>
        <v>Shared</v>
      </c>
      <c r="F913" s="13" t="str">
        <f t="shared" si="28"/>
        <v>2024-01</v>
      </c>
    </row>
    <row r="914" spans="1:6" x14ac:dyDescent="0.2">
      <c r="A914" s="2">
        <v>45297</v>
      </c>
      <c r="B914" s="1" t="s">
        <v>512</v>
      </c>
      <c r="C914" s="1" t="s">
        <v>296</v>
      </c>
      <c r="D914" s="4">
        <v>2200</v>
      </c>
      <c r="E914" t="str">
        <f t="shared" si="29"/>
        <v>Direct</v>
      </c>
      <c r="F914" s="13" t="str">
        <f t="shared" si="28"/>
        <v>2024-01</v>
      </c>
    </row>
    <row r="915" spans="1:6" x14ac:dyDescent="0.2">
      <c r="A915" s="2">
        <v>45297</v>
      </c>
      <c r="B915" s="1" t="s">
        <v>513</v>
      </c>
      <c r="C915" s="1" t="s">
        <v>295</v>
      </c>
      <c r="D915" s="4">
        <v>1800</v>
      </c>
      <c r="E915" t="str">
        <f t="shared" si="29"/>
        <v>Direct</v>
      </c>
      <c r="F915" s="13" t="str">
        <f t="shared" si="28"/>
        <v>2024-01</v>
      </c>
    </row>
    <row r="916" spans="1:6" x14ac:dyDescent="0.2">
      <c r="A916" s="2">
        <v>45298</v>
      </c>
      <c r="B916" s="1" t="s">
        <v>985</v>
      </c>
      <c r="C916" s="1" t="s">
        <v>295</v>
      </c>
      <c r="D916" s="4">
        <v>23940</v>
      </c>
      <c r="E916" t="str">
        <f t="shared" si="29"/>
        <v>Direct</v>
      </c>
      <c r="F916" s="13" t="str">
        <f t="shared" si="28"/>
        <v>2024-01</v>
      </c>
    </row>
    <row r="917" spans="1:6" x14ac:dyDescent="0.2">
      <c r="A917" s="2">
        <v>45298</v>
      </c>
      <c r="B917" s="1" t="s">
        <v>985</v>
      </c>
      <c r="C917" s="1" t="s">
        <v>296</v>
      </c>
      <c r="D917" s="4">
        <v>12233.76</v>
      </c>
      <c r="E917" t="str">
        <f t="shared" si="29"/>
        <v>Direct</v>
      </c>
      <c r="F917" s="13" t="str">
        <f t="shared" si="28"/>
        <v>2024-01</v>
      </c>
    </row>
    <row r="918" spans="1:6" x14ac:dyDescent="0.2">
      <c r="A918" s="2">
        <v>45298</v>
      </c>
      <c r="B918" s="1" t="s">
        <v>985</v>
      </c>
      <c r="C918" s="1" t="s">
        <v>297</v>
      </c>
      <c r="D918" s="4">
        <v>23940</v>
      </c>
      <c r="E918" t="str">
        <f t="shared" si="29"/>
        <v>Direct</v>
      </c>
      <c r="F918" s="13" t="str">
        <f t="shared" si="28"/>
        <v>2024-01</v>
      </c>
    </row>
    <row r="919" spans="1:6" x14ac:dyDescent="0.2">
      <c r="A919" s="2">
        <v>45299</v>
      </c>
      <c r="B919" s="1" t="s">
        <v>314</v>
      </c>
      <c r="C919" s="1" t="s">
        <v>297</v>
      </c>
      <c r="D919" s="4">
        <v>2000</v>
      </c>
      <c r="E919" t="str">
        <f t="shared" si="29"/>
        <v>Direct</v>
      </c>
      <c r="F919" s="13" t="str">
        <f t="shared" si="28"/>
        <v>2024-01</v>
      </c>
    </row>
    <row r="920" spans="1:6" x14ac:dyDescent="0.2">
      <c r="A920" s="2">
        <v>45299</v>
      </c>
      <c r="B920" s="1" t="s">
        <v>315</v>
      </c>
      <c r="C920" s="1" t="s">
        <v>297</v>
      </c>
      <c r="D920" s="4">
        <v>390</v>
      </c>
      <c r="E920" t="str">
        <f t="shared" si="29"/>
        <v>Direct</v>
      </c>
      <c r="F920" s="13" t="str">
        <f t="shared" si="28"/>
        <v>2024-01</v>
      </c>
    </row>
    <row r="921" spans="1:6" x14ac:dyDescent="0.2">
      <c r="A921" s="2">
        <v>45299</v>
      </c>
      <c r="B921" s="1" t="s">
        <v>514</v>
      </c>
      <c r="C921" s="1" t="s">
        <v>295</v>
      </c>
      <c r="D921" s="4">
        <v>940</v>
      </c>
      <c r="E921" t="str">
        <f t="shared" si="29"/>
        <v>Direct</v>
      </c>
      <c r="F921" s="13" t="str">
        <f t="shared" si="28"/>
        <v>2024-01</v>
      </c>
    </row>
    <row r="922" spans="1:6" x14ac:dyDescent="0.2">
      <c r="A922" s="2">
        <v>45301</v>
      </c>
      <c r="B922" s="1" t="s">
        <v>515</v>
      </c>
      <c r="C922" s="1" t="s">
        <v>296</v>
      </c>
      <c r="D922" s="4">
        <v>1200</v>
      </c>
      <c r="E922" t="str">
        <f t="shared" si="29"/>
        <v>Direct</v>
      </c>
      <c r="F922" s="13" t="str">
        <f t="shared" si="28"/>
        <v>2024-01</v>
      </c>
    </row>
    <row r="923" spans="1:6" x14ac:dyDescent="0.2">
      <c r="A923" s="2">
        <v>45301</v>
      </c>
      <c r="B923" s="1" t="s">
        <v>516</v>
      </c>
      <c r="C923" s="1" t="s">
        <v>295</v>
      </c>
      <c r="D923" s="4">
        <v>1200</v>
      </c>
      <c r="E923" t="str">
        <f t="shared" si="29"/>
        <v>Direct</v>
      </c>
      <c r="F923" s="13" t="str">
        <f t="shared" si="28"/>
        <v>2024-01</v>
      </c>
    </row>
    <row r="924" spans="1:6" x14ac:dyDescent="0.2">
      <c r="A924" s="2">
        <v>45301</v>
      </c>
      <c r="B924" s="1" t="s">
        <v>517</v>
      </c>
      <c r="C924" s="1" t="s">
        <v>295</v>
      </c>
      <c r="D924" s="4">
        <v>2000</v>
      </c>
      <c r="E924" t="str">
        <f t="shared" si="29"/>
        <v>Direct</v>
      </c>
      <c r="F924" s="13" t="str">
        <f t="shared" si="28"/>
        <v>2024-01</v>
      </c>
    </row>
    <row r="925" spans="1:6" x14ac:dyDescent="0.2">
      <c r="A925" s="2">
        <v>45301</v>
      </c>
      <c r="B925" s="1" t="s">
        <v>518</v>
      </c>
      <c r="C925" s="1" t="s">
        <v>296</v>
      </c>
      <c r="D925" s="4">
        <v>2180</v>
      </c>
      <c r="E925" t="str">
        <f t="shared" si="29"/>
        <v>Direct</v>
      </c>
      <c r="F925" s="13" t="str">
        <f t="shared" si="28"/>
        <v>2024-01</v>
      </c>
    </row>
    <row r="926" spans="1:6" x14ac:dyDescent="0.2">
      <c r="A926" s="2">
        <v>45301</v>
      </c>
      <c r="B926" s="1" t="s">
        <v>519</v>
      </c>
      <c r="C926" s="1" t="s">
        <v>296</v>
      </c>
      <c r="D926" s="4">
        <v>1500</v>
      </c>
      <c r="E926" t="str">
        <f t="shared" si="29"/>
        <v>Direct</v>
      </c>
      <c r="F926" s="13" t="str">
        <f t="shared" si="28"/>
        <v>2024-01</v>
      </c>
    </row>
    <row r="927" spans="1:6" x14ac:dyDescent="0.2">
      <c r="A927" s="2">
        <v>45302</v>
      </c>
      <c r="B927" s="1" t="s">
        <v>298</v>
      </c>
      <c r="C927" s="1" t="s">
        <v>296</v>
      </c>
      <c r="D927" s="4">
        <v>1100</v>
      </c>
      <c r="E927" t="str">
        <f t="shared" si="29"/>
        <v>Direct</v>
      </c>
      <c r="F927" s="13" t="str">
        <f t="shared" si="28"/>
        <v>2024-01</v>
      </c>
    </row>
    <row r="928" spans="1:6" x14ac:dyDescent="0.2">
      <c r="A928" s="2">
        <v>45303</v>
      </c>
      <c r="B928" s="1" t="s">
        <v>1049</v>
      </c>
      <c r="C928" s="1" t="s">
        <v>296</v>
      </c>
      <c r="D928" s="4">
        <v>1900</v>
      </c>
      <c r="E928" t="str">
        <f t="shared" si="29"/>
        <v>Direct</v>
      </c>
      <c r="F928" s="13" t="str">
        <f t="shared" si="28"/>
        <v>2024-01</v>
      </c>
    </row>
    <row r="929" spans="1:6" x14ac:dyDescent="0.2">
      <c r="A929" s="2">
        <v>45303</v>
      </c>
      <c r="B929" s="1" t="s">
        <v>314</v>
      </c>
      <c r="C929" s="1" t="s">
        <v>295</v>
      </c>
      <c r="D929" s="4">
        <v>2000</v>
      </c>
      <c r="E929" t="str">
        <f t="shared" si="29"/>
        <v>Direct</v>
      </c>
      <c r="F929" s="13" t="str">
        <f t="shared" si="28"/>
        <v>2024-01</v>
      </c>
    </row>
    <row r="930" spans="1:6" x14ac:dyDescent="0.2">
      <c r="A930" s="2">
        <v>45303</v>
      </c>
      <c r="B930" s="1" t="s">
        <v>315</v>
      </c>
      <c r="C930" s="1" t="s">
        <v>295</v>
      </c>
      <c r="D930" s="4">
        <v>360</v>
      </c>
      <c r="E930" t="str">
        <f t="shared" si="29"/>
        <v>Direct</v>
      </c>
      <c r="F930" s="13" t="str">
        <f t="shared" si="28"/>
        <v>2024-01</v>
      </c>
    </row>
    <row r="931" spans="1:6" x14ac:dyDescent="0.2">
      <c r="A931" s="2">
        <v>45304</v>
      </c>
      <c r="B931" s="1" t="s">
        <v>1050</v>
      </c>
      <c r="C931" s="1" t="s">
        <v>296</v>
      </c>
      <c r="D931" s="4">
        <v>900</v>
      </c>
      <c r="E931" t="str">
        <f t="shared" si="29"/>
        <v>Direct</v>
      </c>
      <c r="F931" s="13" t="str">
        <f t="shared" si="28"/>
        <v>2024-01</v>
      </c>
    </row>
    <row r="932" spans="1:6" x14ac:dyDescent="0.2">
      <c r="A932" s="2">
        <v>45304</v>
      </c>
      <c r="B932" s="1" t="s">
        <v>212</v>
      </c>
      <c r="C932" s="1" t="s">
        <v>296</v>
      </c>
      <c r="D932" s="4">
        <v>3000</v>
      </c>
      <c r="E932" t="str">
        <f t="shared" si="29"/>
        <v>Direct</v>
      </c>
      <c r="F932" s="13" t="str">
        <f t="shared" si="28"/>
        <v>2024-01</v>
      </c>
    </row>
    <row r="933" spans="1:6" x14ac:dyDescent="0.2">
      <c r="A933" s="2">
        <v>45305</v>
      </c>
      <c r="B933" s="1" t="s">
        <v>298</v>
      </c>
      <c r="C933" s="1" t="s">
        <v>296</v>
      </c>
      <c r="D933" s="4">
        <v>1100</v>
      </c>
      <c r="E933" t="str">
        <f t="shared" si="29"/>
        <v>Direct</v>
      </c>
      <c r="F933" s="13" t="str">
        <f t="shared" si="28"/>
        <v>2024-01</v>
      </c>
    </row>
    <row r="934" spans="1:6" x14ac:dyDescent="0.2">
      <c r="A934" s="2">
        <v>45305</v>
      </c>
      <c r="B934" s="1" t="s">
        <v>314</v>
      </c>
      <c r="C934" s="1" t="s">
        <v>297</v>
      </c>
      <c r="D934" s="4">
        <v>2000</v>
      </c>
      <c r="E934" t="str">
        <f t="shared" si="29"/>
        <v>Direct</v>
      </c>
      <c r="F934" s="13" t="str">
        <f t="shared" si="28"/>
        <v>2024-01</v>
      </c>
    </row>
    <row r="935" spans="1:6" x14ac:dyDescent="0.2">
      <c r="A935" s="2">
        <v>45306</v>
      </c>
      <c r="B935" s="1" t="s">
        <v>314</v>
      </c>
      <c r="C935" s="1" t="s">
        <v>295</v>
      </c>
      <c r="D935" s="4">
        <v>2000</v>
      </c>
      <c r="E935" t="str">
        <f t="shared" si="29"/>
        <v>Direct</v>
      </c>
      <c r="F935" s="13" t="str">
        <f t="shared" si="28"/>
        <v>2024-01</v>
      </c>
    </row>
    <row r="936" spans="1:6" x14ac:dyDescent="0.2">
      <c r="A936" s="2">
        <v>45306</v>
      </c>
      <c r="B936" s="1" t="s">
        <v>520</v>
      </c>
      <c r="C936" s="1" t="s">
        <v>297</v>
      </c>
      <c r="D936" s="4">
        <v>680</v>
      </c>
      <c r="E936" t="str">
        <f t="shared" si="29"/>
        <v>Direct</v>
      </c>
      <c r="F936" s="13" t="str">
        <f t="shared" si="28"/>
        <v>2024-01</v>
      </c>
    </row>
    <row r="937" spans="1:6" x14ac:dyDescent="0.2">
      <c r="A937" s="2">
        <v>45309</v>
      </c>
      <c r="B937" s="1" t="s">
        <v>521</v>
      </c>
      <c r="C937" s="1" t="s">
        <v>295</v>
      </c>
      <c r="D937" s="4">
        <v>2000</v>
      </c>
      <c r="E937" t="str">
        <f t="shared" si="29"/>
        <v>Direct</v>
      </c>
      <c r="F937" s="13" t="str">
        <f t="shared" si="28"/>
        <v>2024-01</v>
      </c>
    </row>
    <row r="938" spans="1:6" x14ac:dyDescent="0.2">
      <c r="A938" s="2">
        <v>45309</v>
      </c>
      <c r="B938" s="1" t="s">
        <v>1051</v>
      </c>
      <c r="C938" s="1" t="s">
        <v>295</v>
      </c>
      <c r="D938" s="4">
        <v>2000</v>
      </c>
      <c r="E938" t="str">
        <f t="shared" si="29"/>
        <v>Direct</v>
      </c>
      <c r="F938" s="13" t="str">
        <f t="shared" si="28"/>
        <v>2024-01</v>
      </c>
    </row>
    <row r="939" spans="1:6" x14ac:dyDescent="0.2">
      <c r="A939" s="2">
        <v>45309</v>
      </c>
      <c r="B939" s="1" t="s">
        <v>213</v>
      </c>
      <c r="C939" s="1" t="s">
        <v>994</v>
      </c>
      <c r="D939" s="4">
        <v>1900</v>
      </c>
      <c r="E939" t="str">
        <f t="shared" si="29"/>
        <v>Shared</v>
      </c>
      <c r="F939" s="13" t="str">
        <f t="shared" si="28"/>
        <v>2024-01</v>
      </c>
    </row>
    <row r="940" spans="1:6" x14ac:dyDescent="0.2">
      <c r="A940" s="2">
        <v>45309</v>
      </c>
      <c r="B940" s="1" t="s">
        <v>183</v>
      </c>
      <c r="C940" s="1" t="s">
        <v>994</v>
      </c>
      <c r="D940" s="4">
        <v>900</v>
      </c>
      <c r="E940" t="str">
        <f t="shared" si="29"/>
        <v>Shared</v>
      </c>
      <c r="F940" s="13" t="str">
        <f t="shared" si="28"/>
        <v>2024-01</v>
      </c>
    </row>
    <row r="941" spans="1:6" x14ac:dyDescent="0.2">
      <c r="A941" s="2">
        <v>45310</v>
      </c>
      <c r="B941" s="1" t="s">
        <v>1052</v>
      </c>
      <c r="C941" s="1" t="s">
        <v>297</v>
      </c>
      <c r="D941" s="4">
        <v>1300</v>
      </c>
      <c r="E941" t="str">
        <f t="shared" si="29"/>
        <v>Direct</v>
      </c>
      <c r="F941" s="13" t="str">
        <f t="shared" si="28"/>
        <v>2024-01</v>
      </c>
    </row>
    <row r="942" spans="1:6" x14ac:dyDescent="0.2">
      <c r="A942" s="2">
        <v>45310</v>
      </c>
      <c r="B942" s="1" t="s">
        <v>214</v>
      </c>
      <c r="C942" s="1" t="s">
        <v>994</v>
      </c>
      <c r="D942" s="4">
        <v>299</v>
      </c>
      <c r="E942" t="str">
        <f t="shared" si="29"/>
        <v>Shared</v>
      </c>
      <c r="F942" s="13" t="str">
        <f t="shared" si="28"/>
        <v>2024-01</v>
      </c>
    </row>
    <row r="943" spans="1:6" x14ac:dyDescent="0.2">
      <c r="A943" s="2">
        <v>45310</v>
      </c>
      <c r="B943" s="1" t="s">
        <v>524</v>
      </c>
      <c r="C943" s="1" t="s">
        <v>295</v>
      </c>
      <c r="D943" s="4">
        <v>300</v>
      </c>
      <c r="E943" t="str">
        <f t="shared" si="29"/>
        <v>Direct</v>
      </c>
      <c r="F943" s="13" t="str">
        <f t="shared" si="28"/>
        <v>2024-01</v>
      </c>
    </row>
    <row r="944" spans="1:6" x14ac:dyDescent="0.2">
      <c r="A944" s="2">
        <v>45311</v>
      </c>
      <c r="B944" s="1" t="s">
        <v>298</v>
      </c>
      <c r="C944" s="1" t="s">
        <v>296</v>
      </c>
      <c r="D944" s="4">
        <v>1100</v>
      </c>
      <c r="E944" t="str">
        <f t="shared" si="29"/>
        <v>Direct</v>
      </c>
      <c r="F944" s="13" t="str">
        <f t="shared" si="28"/>
        <v>2024-01</v>
      </c>
    </row>
    <row r="945" spans="1:6" x14ac:dyDescent="0.2">
      <c r="A945" s="2">
        <v>45311</v>
      </c>
      <c r="B945" s="1" t="s">
        <v>522</v>
      </c>
      <c r="C945" s="1" t="s">
        <v>295</v>
      </c>
      <c r="D945" s="4">
        <v>4000</v>
      </c>
      <c r="E945" t="str">
        <f t="shared" si="29"/>
        <v>Direct</v>
      </c>
      <c r="F945" s="13" t="str">
        <f t="shared" si="28"/>
        <v>2024-01</v>
      </c>
    </row>
    <row r="946" spans="1:6" x14ac:dyDescent="0.2">
      <c r="A946" s="2">
        <v>45311</v>
      </c>
      <c r="B946" s="1" t="s">
        <v>523</v>
      </c>
      <c r="C946" s="1" t="s">
        <v>295</v>
      </c>
      <c r="D946" s="4">
        <v>4000</v>
      </c>
      <c r="E946" t="str">
        <f t="shared" si="29"/>
        <v>Direct</v>
      </c>
      <c r="F946" s="13" t="str">
        <f t="shared" si="28"/>
        <v>2024-01</v>
      </c>
    </row>
    <row r="947" spans="1:6" x14ac:dyDescent="0.2">
      <c r="A947" s="2">
        <v>45315</v>
      </c>
      <c r="B947" s="1" t="s">
        <v>9</v>
      </c>
      <c r="C947" s="1" t="s">
        <v>296</v>
      </c>
      <c r="D947" s="4">
        <v>230</v>
      </c>
      <c r="E947" t="str">
        <f t="shared" si="29"/>
        <v>Direct</v>
      </c>
      <c r="F947" s="13" t="str">
        <f t="shared" si="28"/>
        <v>2024-01</v>
      </c>
    </row>
    <row r="948" spans="1:6" x14ac:dyDescent="0.2">
      <c r="A948" s="2">
        <v>45315</v>
      </c>
      <c r="B948" s="1" t="s">
        <v>1053</v>
      </c>
      <c r="C948" s="1" t="s">
        <v>295</v>
      </c>
      <c r="D948" s="4">
        <v>300</v>
      </c>
      <c r="E948" t="str">
        <f t="shared" si="29"/>
        <v>Direct</v>
      </c>
      <c r="F948" s="13" t="str">
        <f t="shared" si="28"/>
        <v>2024-01</v>
      </c>
    </row>
    <row r="949" spans="1:6" x14ac:dyDescent="0.2">
      <c r="A949" s="2">
        <v>45316</v>
      </c>
      <c r="B949" s="1" t="s">
        <v>525</v>
      </c>
      <c r="C949" s="1" t="s">
        <v>297</v>
      </c>
      <c r="D949" s="4">
        <v>700</v>
      </c>
      <c r="E949" t="str">
        <f t="shared" si="29"/>
        <v>Direct</v>
      </c>
      <c r="F949" s="13" t="str">
        <f t="shared" si="28"/>
        <v>2024-01</v>
      </c>
    </row>
    <row r="950" spans="1:6" x14ac:dyDescent="0.2">
      <c r="A950" s="2">
        <v>45321</v>
      </c>
      <c r="B950" s="1" t="s">
        <v>215</v>
      </c>
      <c r="C950" s="1" t="s">
        <v>994</v>
      </c>
      <c r="D950" s="4">
        <v>260</v>
      </c>
      <c r="E950" t="str">
        <f t="shared" si="29"/>
        <v>Shared</v>
      </c>
      <c r="F950" s="13" t="str">
        <f t="shared" si="28"/>
        <v>2024-01</v>
      </c>
    </row>
    <row r="951" spans="1:6" x14ac:dyDescent="0.2">
      <c r="A951" s="2">
        <v>45321</v>
      </c>
      <c r="B951" s="1" t="s">
        <v>183</v>
      </c>
      <c r="C951" s="1" t="s">
        <v>994</v>
      </c>
      <c r="D951" s="4">
        <v>4000</v>
      </c>
      <c r="E951" t="str">
        <f t="shared" si="29"/>
        <v>Shared</v>
      </c>
      <c r="F951" s="13" t="str">
        <f t="shared" si="28"/>
        <v>2024-01</v>
      </c>
    </row>
    <row r="952" spans="1:6" x14ac:dyDescent="0.2">
      <c r="A952" s="2">
        <v>45324</v>
      </c>
      <c r="B952" s="1" t="s">
        <v>526</v>
      </c>
      <c r="C952" s="1" t="s">
        <v>297</v>
      </c>
      <c r="D952" s="4">
        <v>700</v>
      </c>
      <c r="E952" t="str">
        <f t="shared" si="29"/>
        <v>Direct</v>
      </c>
      <c r="F952" s="13" t="str">
        <f t="shared" si="28"/>
        <v>2024-02</v>
      </c>
    </row>
    <row r="953" spans="1:6" x14ac:dyDescent="0.2">
      <c r="A953" s="2">
        <v>45324</v>
      </c>
      <c r="B953" s="1" t="s">
        <v>527</v>
      </c>
      <c r="C953" s="1" t="s">
        <v>296</v>
      </c>
      <c r="D953" s="4">
        <v>1000</v>
      </c>
      <c r="E953" t="str">
        <f t="shared" si="29"/>
        <v>Direct</v>
      </c>
      <c r="F953" s="13" t="str">
        <f t="shared" si="28"/>
        <v>2024-02</v>
      </c>
    </row>
    <row r="954" spans="1:6" x14ac:dyDescent="0.2">
      <c r="A954" s="2">
        <v>45324</v>
      </c>
      <c r="B954" s="1" t="s">
        <v>528</v>
      </c>
      <c r="C954" s="1" t="s">
        <v>297</v>
      </c>
      <c r="D954" s="4">
        <v>300</v>
      </c>
      <c r="E954" t="str">
        <f t="shared" si="29"/>
        <v>Direct</v>
      </c>
      <c r="F954" s="13" t="str">
        <f t="shared" si="28"/>
        <v>2024-02</v>
      </c>
    </row>
    <row r="955" spans="1:6" x14ac:dyDescent="0.2">
      <c r="A955" s="2">
        <v>45324</v>
      </c>
      <c r="B955" s="1" t="s">
        <v>1054</v>
      </c>
      <c r="C955" s="1" t="s">
        <v>297</v>
      </c>
      <c r="D955" s="4">
        <v>1200</v>
      </c>
      <c r="E955" t="str">
        <f t="shared" si="29"/>
        <v>Direct</v>
      </c>
      <c r="F955" s="13" t="str">
        <f t="shared" si="28"/>
        <v>2024-02</v>
      </c>
    </row>
    <row r="956" spans="1:6" x14ac:dyDescent="0.2">
      <c r="A956" s="2">
        <v>45324</v>
      </c>
      <c r="B956" s="1" t="s">
        <v>529</v>
      </c>
      <c r="C956" s="1" t="s">
        <v>296</v>
      </c>
      <c r="D956" s="4">
        <v>100</v>
      </c>
      <c r="E956" t="str">
        <f t="shared" si="29"/>
        <v>Direct</v>
      </c>
      <c r="F956" s="13" t="str">
        <f t="shared" si="28"/>
        <v>2024-02</v>
      </c>
    </row>
    <row r="957" spans="1:6" x14ac:dyDescent="0.2">
      <c r="A957" s="2">
        <v>45327</v>
      </c>
      <c r="B957" s="1" t="s">
        <v>216</v>
      </c>
      <c r="C957" s="1" t="s">
        <v>296</v>
      </c>
      <c r="D957" s="4">
        <v>3000</v>
      </c>
      <c r="E957" t="str">
        <f t="shared" si="29"/>
        <v>Direct</v>
      </c>
      <c r="F957" s="13" t="str">
        <f t="shared" si="28"/>
        <v>2024-02</v>
      </c>
    </row>
    <row r="958" spans="1:6" x14ac:dyDescent="0.2">
      <c r="A958" s="2">
        <v>45327</v>
      </c>
      <c r="B958" s="1" t="s">
        <v>217</v>
      </c>
      <c r="C958" s="1" t="s">
        <v>994</v>
      </c>
      <c r="D958" s="4">
        <v>2400</v>
      </c>
      <c r="E958" t="str">
        <f t="shared" si="29"/>
        <v>Shared</v>
      </c>
      <c r="F958" s="13" t="str">
        <f t="shared" si="28"/>
        <v>2024-02</v>
      </c>
    </row>
    <row r="959" spans="1:6" x14ac:dyDescent="0.2">
      <c r="A959" s="2">
        <v>45329</v>
      </c>
      <c r="B959" s="1" t="s">
        <v>985</v>
      </c>
      <c r="C959" s="1" t="s">
        <v>295</v>
      </c>
      <c r="D959" s="4">
        <v>20417</v>
      </c>
      <c r="E959" t="str">
        <f t="shared" si="29"/>
        <v>Direct</v>
      </c>
      <c r="F959" s="13" t="str">
        <f t="shared" si="28"/>
        <v>2024-02</v>
      </c>
    </row>
    <row r="960" spans="1:6" x14ac:dyDescent="0.2">
      <c r="A960" s="2">
        <v>45329</v>
      </c>
      <c r="B960" s="1" t="s">
        <v>985</v>
      </c>
      <c r="C960" s="1" t="s">
        <v>296</v>
      </c>
      <c r="D960" s="4">
        <v>10433.4</v>
      </c>
      <c r="E960" t="str">
        <f t="shared" si="29"/>
        <v>Direct</v>
      </c>
      <c r="F960" s="13" t="str">
        <f t="shared" si="28"/>
        <v>2024-02</v>
      </c>
    </row>
    <row r="961" spans="1:6" x14ac:dyDescent="0.2">
      <c r="A961" s="2">
        <v>45329</v>
      </c>
      <c r="B961" s="1" t="s">
        <v>985</v>
      </c>
      <c r="C961" s="1" t="s">
        <v>297</v>
      </c>
      <c r="D961" s="4">
        <v>20417</v>
      </c>
      <c r="E961" t="str">
        <f t="shared" si="29"/>
        <v>Direct</v>
      </c>
      <c r="F961" s="13" t="str">
        <f t="shared" si="28"/>
        <v>2024-02</v>
      </c>
    </row>
    <row r="962" spans="1:6" x14ac:dyDescent="0.2">
      <c r="A962" s="2">
        <v>45330</v>
      </c>
      <c r="B962" s="1" t="s">
        <v>530</v>
      </c>
      <c r="C962" s="1" t="s">
        <v>297</v>
      </c>
      <c r="D962" s="4">
        <v>400</v>
      </c>
      <c r="E962" t="str">
        <f t="shared" si="29"/>
        <v>Direct</v>
      </c>
      <c r="F962" s="13" t="str">
        <f t="shared" ref="F962:F1025" si="30">YEAR(A962)&amp;"-"&amp;TEXT(MONTH(A962),"00")</f>
        <v>2024-02</v>
      </c>
    </row>
    <row r="963" spans="1:6" x14ac:dyDescent="0.2">
      <c r="A963" s="2">
        <v>45330</v>
      </c>
      <c r="B963" s="1" t="s">
        <v>314</v>
      </c>
      <c r="C963" s="1" t="s">
        <v>295</v>
      </c>
      <c r="D963" s="4">
        <v>2000</v>
      </c>
      <c r="E963" t="str">
        <f t="shared" ref="E963:E1026" si="31">IF(OR(C963="A302", C963="B303", C963="C301"), "Direct", "Shared")</f>
        <v>Direct</v>
      </c>
      <c r="F963" s="13" t="str">
        <f t="shared" si="30"/>
        <v>2024-02</v>
      </c>
    </row>
    <row r="964" spans="1:6" x14ac:dyDescent="0.2">
      <c r="A964" s="2">
        <v>45330</v>
      </c>
      <c r="B964" s="1" t="s">
        <v>218</v>
      </c>
      <c r="C964" s="1" t="s">
        <v>994</v>
      </c>
      <c r="D964" s="4">
        <v>5550</v>
      </c>
      <c r="E964" t="str">
        <f t="shared" si="31"/>
        <v>Shared</v>
      </c>
      <c r="F964" s="13" t="str">
        <f t="shared" si="30"/>
        <v>2024-02</v>
      </c>
    </row>
    <row r="965" spans="1:6" x14ac:dyDescent="0.2">
      <c r="A965" s="2">
        <v>45331</v>
      </c>
      <c r="B965" s="1" t="s">
        <v>219</v>
      </c>
      <c r="C965" s="1" t="s">
        <v>994</v>
      </c>
      <c r="D965" s="4">
        <v>960</v>
      </c>
      <c r="E965" t="str">
        <f t="shared" si="31"/>
        <v>Shared</v>
      </c>
      <c r="F965" s="13" t="str">
        <f t="shared" si="30"/>
        <v>2024-02</v>
      </c>
    </row>
    <row r="966" spans="1:6" x14ac:dyDescent="0.2">
      <c r="A966" s="2">
        <v>45334</v>
      </c>
      <c r="B966" s="1" t="s">
        <v>531</v>
      </c>
      <c r="C966" s="1" t="s">
        <v>296</v>
      </c>
      <c r="D966" s="4">
        <v>800</v>
      </c>
      <c r="E966" t="str">
        <f t="shared" si="31"/>
        <v>Direct</v>
      </c>
      <c r="F966" s="13" t="str">
        <f t="shared" si="30"/>
        <v>2024-02</v>
      </c>
    </row>
    <row r="967" spans="1:6" x14ac:dyDescent="0.2">
      <c r="A967" s="2">
        <v>45334</v>
      </c>
      <c r="B967" s="1" t="s">
        <v>220</v>
      </c>
      <c r="C967" s="1" t="s">
        <v>994</v>
      </c>
      <c r="D967" s="4">
        <v>720</v>
      </c>
      <c r="E967" t="str">
        <f t="shared" si="31"/>
        <v>Shared</v>
      </c>
      <c r="F967" s="13" t="str">
        <f t="shared" si="30"/>
        <v>2024-02</v>
      </c>
    </row>
    <row r="968" spans="1:6" x14ac:dyDescent="0.2">
      <c r="A968" s="2">
        <v>45334</v>
      </c>
      <c r="B968" s="1" t="s">
        <v>183</v>
      </c>
      <c r="C968" s="1" t="s">
        <v>994</v>
      </c>
      <c r="D968" s="4">
        <v>2000</v>
      </c>
      <c r="E968" t="str">
        <f t="shared" si="31"/>
        <v>Shared</v>
      </c>
      <c r="F968" s="13" t="str">
        <f t="shared" si="30"/>
        <v>2024-02</v>
      </c>
    </row>
    <row r="969" spans="1:6" x14ac:dyDescent="0.2">
      <c r="A969" s="2">
        <v>45335</v>
      </c>
      <c r="B969" s="1" t="s">
        <v>363</v>
      </c>
      <c r="C969" s="1" t="s">
        <v>295</v>
      </c>
      <c r="D969" s="4">
        <v>800</v>
      </c>
      <c r="E969" t="str">
        <f t="shared" si="31"/>
        <v>Direct</v>
      </c>
      <c r="F969" s="13" t="str">
        <f t="shared" si="30"/>
        <v>2024-02</v>
      </c>
    </row>
    <row r="970" spans="1:6" x14ac:dyDescent="0.2">
      <c r="A970" s="2">
        <v>45336</v>
      </c>
      <c r="B970" s="1" t="s">
        <v>221</v>
      </c>
      <c r="C970" s="1" t="s">
        <v>994</v>
      </c>
      <c r="D970" s="4">
        <v>90</v>
      </c>
      <c r="E970" t="str">
        <f t="shared" si="31"/>
        <v>Shared</v>
      </c>
      <c r="F970" s="13" t="str">
        <f t="shared" si="30"/>
        <v>2024-02</v>
      </c>
    </row>
    <row r="971" spans="1:6" x14ac:dyDescent="0.2">
      <c r="A971" s="2">
        <v>45336</v>
      </c>
      <c r="B971" s="1" t="s">
        <v>532</v>
      </c>
      <c r="C971" s="1" t="s">
        <v>295</v>
      </c>
      <c r="D971" s="4">
        <v>700</v>
      </c>
      <c r="E971" t="str">
        <f t="shared" si="31"/>
        <v>Direct</v>
      </c>
      <c r="F971" s="13" t="str">
        <f t="shared" si="30"/>
        <v>2024-02</v>
      </c>
    </row>
    <row r="972" spans="1:6" x14ac:dyDescent="0.2">
      <c r="A972" s="2">
        <v>45338</v>
      </c>
      <c r="B972" s="1" t="s">
        <v>314</v>
      </c>
      <c r="C972" s="1" t="s">
        <v>297</v>
      </c>
      <c r="D972" s="4">
        <v>2000</v>
      </c>
      <c r="E972" t="str">
        <f t="shared" si="31"/>
        <v>Direct</v>
      </c>
      <c r="F972" s="13" t="str">
        <f t="shared" si="30"/>
        <v>2024-02</v>
      </c>
    </row>
    <row r="973" spans="1:6" x14ac:dyDescent="0.2">
      <c r="A973" s="2">
        <v>45341</v>
      </c>
      <c r="B973" s="1" t="s">
        <v>533</v>
      </c>
      <c r="C973" s="1" t="s">
        <v>295</v>
      </c>
      <c r="D973" s="4">
        <v>920</v>
      </c>
      <c r="E973" t="str">
        <f t="shared" si="31"/>
        <v>Direct</v>
      </c>
      <c r="F973" s="13" t="str">
        <f t="shared" si="30"/>
        <v>2024-02</v>
      </c>
    </row>
    <row r="974" spans="1:6" x14ac:dyDescent="0.2">
      <c r="A974" s="2">
        <v>45341</v>
      </c>
      <c r="B974" s="1" t="s">
        <v>1055</v>
      </c>
      <c r="C974" s="1" t="s">
        <v>295</v>
      </c>
      <c r="D974" s="4">
        <v>2200</v>
      </c>
      <c r="E974" t="str">
        <f t="shared" si="31"/>
        <v>Direct</v>
      </c>
      <c r="F974" s="13" t="str">
        <f t="shared" si="30"/>
        <v>2024-02</v>
      </c>
    </row>
    <row r="975" spans="1:6" x14ac:dyDescent="0.2">
      <c r="A975" s="2">
        <v>45341</v>
      </c>
      <c r="B975" s="1" t="s">
        <v>298</v>
      </c>
      <c r="C975" s="1" t="s">
        <v>295</v>
      </c>
      <c r="D975" s="4">
        <v>1100</v>
      </c>
      <c r="E975" t="str">
        <f t="shared" si="31"/>
        <v>Direct</v>
      </c>
      <c r="F975" s="13" t="str">
        <f t="shared" si="30"/>
        <v>2024-02</v>
      </c>
    </row>
    <row r="976" spans="1:6" x14ac:dyDescent="0.2">
      <c r="A976" s="2">
        <v>45343</v>
      </c>
      <c r="B976" s="1" t="s">
        <v>298</v>
      </c>
      <c r="C976" s="1" t="s">
        <v>297</v>
      </c>
      <c r="D976" s="4">
        <v>1100</v>
      </c>
      <c r="E976" t="str">
        <f t="shared" si="31"/>
        <v>Direct</v>
      </c>
      <c r="F976" s="13" t="str">
        <f t="shared" si="30"/>
        <v>2024-02</v>
      </c>
    </row>
    <row r="977" spans="1:6" x14ac:dyDescent="0.2">
      <c r="A977" s="2">
        <v>45343</v>
      </c>
      <c r="B977" s="1" t="s">
        <v>146</v>
      </c>
      <c r="C977" s="1" t="s">
        <v>297</v>
      </c>
      <c r="D977" s="4">
        <v>460</v>
      </c>
      <c r="E977" t="str">
        <f t="shared" si="31"/>
        <v>Direct</v>
      </c>
      <c r="F977" s="13" t="str">
        <f t="shared" si="30"/>
        <v>2024-02</v>
      </c>
    </row>
    <row r="978" spans="1:6" x14ac:dyDescent="0.2">
      <c r="A978" s="2">
        <v>45346</v>
      </c>
      <c r="B978" s="1" t="s">
        <v>146</v>
      </c>
      <c r="C978" s="1" t="s">
        <v>297</v>
      </c>
      <c r="D978" s="4">
        <v>200</v>
      </c>
      <c r="E978" t="str">
        <f t="shared" si="31"/>
        <v>Direct</v>
      </c>
      <c r="F978" s="13" t="str">
        <f t="shared" si="30"/>
        <v>2024-02</v>
      </c>
    </row>
    <row r="979" spans="1:6" x14ac:dyDescent="0.2">
      <c r="A979" s="2">
        <v>45346</v>
      </c>
      <c r="B979" s="1" t="s">
        <v>222</v>
      </c>
      <c r="C979" s="1" t="s">
        <v>994</v>
      </c>
      <c r="D979" s="4">
        <v>200</v>
      </c>
      <c r="E979" t="str">
        <f t="shared" si="31"/>
        <v>Shared</v>
      </c>
      <c r="F979" s="13" t="str">
        <f t="shared" si="30"/>
        <v>2024-02</v>
      </c>
    </row>
    <row r="980" spans="1:6" x14ac:dyDescent="0.2">
      <c r="A980" s="2">
        <v>45346</v>
      </c>
      <c r="B980" s="1" t="s">
        <v>9</v>
      </c>
      <c r="C980" s="1" t="s">
        <v>297</v>
      </c>
      <c r="D980" s="4">
        <v>250</v>
      </c>
      <c r="E980" t="str">
        <f t="shared" si="31"/>
        <v>Direct</v>
      </c>
      <c r="F980" s="13" t="str">
        <f t="shared" si="30"/>
        <v>2024-02</v>
      </c>
    </row>
    <row r="981" spans="1:6" x14ac:dyDescent="0.2">
      <c r="A981" s="2">
        <v>45349</v>
      </c>
      <c r="B981" s="1" t="s">
        <v>223</v>
      </c>
      <c r="C981" s="1" t="s">
        <v>994</v>
      </c>
      <c r="D981" s="4">
        <v>1700</v>
      </c>
      <c r="E981" t="str">
        <f t="shared" si="31"/>
        <v>Shared</v>
      </c>
      <c r="F981" s="13" t="str">
        <f t="shared" si="30"/>
        <v>2024-02</v>
      </c>
    </row>
    <row r="982" spans="1:6" x14ac:dyDescent="0.2">
      <c r="A982" s="2">
        <v>45349</v>
      </c>
      <c r="B982" s="1" t="s">
        <v>224</v>
      </c>
      <c r="C982" s="1" t="s">
        <v>994</v>
      </c>
      <c r="D982" s="4">
        <v>500</v>
      </c>
      <c r="E982" t="str">
        <f t="shared" si="31"/>
        <v>Shared</v>
      </c>
      <c r="F982" s="13" t="str">
        <f t="shared" si="30"/>
        <v>2024-02</v>
      </c>
    </row>
    <row r="983" spans="1:6" x14ac:dyDescent="0.2">
      <c r="A983" s="2">
        <v>45350</v>
      </c>
      <c r="B983" s="1" t="s">
        <v>534</v>
      </c>
      <c r="C983" s="1" t="s">
        <v>295</v>
      </c>
      <c r="D983" s="4">
        <v>900</v>
      </c>
      <c r="E983" t="str">
        <f t="shared" si="31"/>
        <v>Direct</v>
      </c>
      <c r="F983" s="13" t="str">
        <f t="shared" si="30"/>
        <v>2024-02</v>
      </c>
    </row>
    <row r="984" spans="1:6" x14ac:dyDescent="0.2">
      <c r="A984" s="2">
        <v>45351</v>
      </c>
      <c r="B984" s="1" t="s">
        <v>225</v>
      </c>
      <c r="C984" s="1" t="s">
        <v>994</v>
      </c>
      <c r="D984" s="4">
        <v>5000</v>
      </c>
      <c r="E984" t="str">
        <f t="shared" si="31"/>
        <v>Shared</v>
      </c>
      <c r="F984" s="13" t="str">
        <f t="shared" si="30"/>
        <v>2024-02</v>
      </c>
    </row>
    <row r="985" spans="1:6" x14ac:dyDescent="0.2">
      <c r="A985" s="2">
        <v>45352</v>
      </c>
      <c r="B985" s="1" t="s">
        <v>226</v>
      </c>
      <c r="C985" s="1" t="s">
        <v>994</v>
      </c>
      <c r="D985" s="4">
        <v>200</v>
      </c>
      <c r="E985" t="str">
        <f t="shared" si="31"/>
        <v>Shared</v>
      </c>
      <c r="F985" s="13" t="str">
        <f t="shared" si="30"/>
        <v>2024-03</v>
      </c>
    </row>
    <row r="986" spans="1:6" x14ac:dyDescent="0.2">
      <c r="A986" s="2">
        <v>45353</v>
      </c>
      <c r="B986" s="1" t="s">
        <v>1056</v>
      </c>
      <c r="C986" s="1" t="s">
        <v>295</v>
      </c>
      <c r="D986" s="4">
        <v>1300</v>
      </c>
      <c r="E986" t="str">
        <f t="shared" si="31"/>
        <v>Direct</v>
      </c>
      <c r="F986" s="13" t="str">
        <f t="shared" si="30"/>
        <v>2024-03</v>
      </c>
    </row>
    <row r="987" spans="1:6" x14ac:dyDescent="0.2">
      <c r="A987" s="2">
        <v>45353</v>
      </c>
      <c r="B987" s="1" t="s">
        <v>298</v>
      </c>
      <c r="C987" s="1" t="s">
        <v>295</v>
      </c>
      <c r="D987" s="4">
        <v>1100</v>
      </c>
      <c r="E987" t="str">
        <f t="shared" si="31"/>
        <v>Direct</v>
      </c>
      <c r="F987" s="13" t="str">
        <f t="shared" si="30"/>
        <v>2024-03</v>
      </c>
    </row>
    <row r="988" spans="1:6" x14ac:dyDescent="0.2">
      <c r="A988" s="2">
        <v>45353</v>
      </c>
      <c r="B988" s="1" t="s">
        <v>9</v>
      </c>
      <c r="C988" s="1" t="s">
        <v>295</v>
      </c>
      <c r="D988" s="4">
        <v>280</v>
      </c>
      <c r="E988" t="str">
        <f t="shared" si="31"/>
        <v>Direct</v>
      </c>
      <c r="F988" s="13" t="str">
        <f t="shared" si="30"/>
        <v>2024-03</v>
      </c>
    </row>
    <row r="989" spans="1:6" x14ac:dyDescent="0.2">
      <c r="A989" s="2">
        <v>45355</v>
      </c>
      <c r="B989" s="1" t="s">
        <v>298</v>
      </c>
      <c r="C989" s="1" t="s">
        <v>297</v>
      </c>
      <c r="D989" s="4">
        <v>1100</v>
      </c>
      <c r="E989" t="str">
        <f t="shared" si="31"/>
        <v>Direct</v>
      </c>
      <c r="F989" s="13" t="str">
        <f t="shared" si="30"/>
        <v>2024-03</v>
      </c>
    </row>
    <row r="990" spans="1:6" x14ac:dyDescent="0.2">
      <c r="A990" s="2">
        <v>45355</v>
      </c>
      <c r="B990" s="1" t="s">
        <v>9</v>
      </c>
      <c r="C990" s="1" t="s">
        <v>297</v>
      </c>
      <c r="D990" s="4">
        <v>250</v>
      </c>
      <c r="E990" t="str">
        <f t="shared" si="31"/>
        <v>Direct</v>
      </c>
      <c r="F990" s="13" t="str">
        <f t="shared" si="30"/>
        <v>2024-03</v>
      </c>
    </row>
    <row r="991" spans="1:6" x14ac:dyDescent="0.2">
      <c r="A991" s="2">
        <v>45356</v>
      </c>
      <c r="B991" s="1" t="s">
        <v>227</v>
      </c>
      <c r="C991" s="1" t="s">
        <v>994</v>
      </c>
      <c r="D991" s="4">
        <v>140</v>
      </c>
      <c r="E991" t="str">
        <f t="shared" si="31"/>
        <v>Shared</v>
      </c>
      <c r="F991" s="13" t="str">
        <f t="shared" si="30"/>
        <v>2024-03</v>
      </c>
    </row>
    <row r="992" spans="1:6" x14ac:dyDescent="0.2">
      <c r="A992" s="2">
        <v>45357</v>
      </c>
      <c r="B992" s="1" t="s">
        <v>363</v>
      </c>
      <c r="C992" s="1" t="s">
        <v>297</v>
      </c>
      <c r="D992" s="4">
        <v>800</v>
      </c>
      <c r="E992" t="str">
        <f t="shared" si="31"/>
        <v>Direct</v>
      </c>
      <c r="F992" s="13" t="str">
        <f t="shared" si="30"/>
        <v>2024-03</v>
      </c>
    </row>
    <row r="993" spans="1:6" x14ac:dyDescent="0.2">
      <c r="A993" s="2">
        <v>45357</v>
      </c>
      <c r="B993" s="1" t="s">
        <v>9</v>
      </c>
      <c r="C993" s="1" t="s">
        <v>296</v>
      </c>
      <c r="D993" s="4">
        <v>300</v>
      </c>
      <c r="E993" t="str">
        <f t="shared" si="31"/>
        <v>Direct</v>
      </c>
      <c r="F993" s="13" t="str">
        <f t="shared" si="30"/>
        <v>2024-03</v>
      </c>
    </row>
    <row r="994" spans="1:6" x14ac:dyDescent="0.2">
      <c r="A994" s="2">
        <v>45357</v>
      </c>
      <c r="B994" s="1" t="s">
        <v>313</v>
      </c>
      <c r="C994" s="1" t="s">
        <v>297</v>
      </c>
      <c r="D994" s="4">
        <v>150</v>
      </c>
      <c r="E994" t="str">
        <f t="shared" si="31"/>
        <v>Direct</v>
      </c>
      <c r="F994" s="13" t="str">
        <f t="shared" si="30"/>
        <v>2024-03</v>
      </c>
    </row>
    <row r="995" spans="1:6" x14ac:dyDescent="0.2">
      <c r="A995" s="2">
        <v>45357</v>
      </c>
      <c r="B995" s="1" t="s">
        <v>183</v>
      </c>
      <c r="C995" s="1" t="s">
        <v>994</v>
      </c>
      <c r="D995" s="4">
        <v>1500</v>
      </c>
      <c r="E995" t="str">
        <f t="shared" si="31"/>
        <v>Shared</v>
      </c>
      <c r="F995" s="13" t="str">
        <f t="shared" si="30"/>
        <v>2024-03</v>
      </c>
    </row>
    <row r="996" spans="1:6" x14ac:dyDescent="0.2">
      <c r="A996" s="2">
        <v>45358</v>
      </c>
      <c r="B996" s="1" t="s">
        <v>1057</v>
      </c>
      <c r="C996" s="1" t="s">
        <v>295</v>
      </c>
      <c r="D996" s="4">
        <v>400</v>
      </c>
      <c r="E996" t="str">
        <f t="shared" si="31"/>
        <v>Direct</v>
      </c>
      <c r="F996" s="13" t="str">
        <f t="shared" si="30"/>
        <v>2024-03</v>
      </c>
    </row>
    <row r="997" spans="1:6" x14ac:dyDescent="0.2">
      <c r="A997" s="2">
        <v>45358</v>
      </c>
      <c r="B997" s="1" t="s">
        <v>985</v>
      </c>
      <c r="C997" s="1" t="s">
        <v>295</v>
      </c>
      <c r="D997" s="4">
        <v>25642</v>
      </c>
      <c r="E997" t="str">
        <f t="shared" si="31"/>
        <v>Direct</v>
      </c>
      <c r="F997" s="13" t="str">
        <f t="shared" si="30"/>
        <v>2024-03</v>
      </c>
    </row>
    <row r="998" spans="1:6" x14ac:dyDescent="0.2">
      <c r="A998" s="2">
        <v>45358</v>
      </c>
      <c r="B998" s="1" t="s">
        <v>985</v>
      </c>
      <c r="C998" s="1" t="s">
        <v>296</v>
      </c>
      <c r="D998" s="4">
        <v>13103.46</v>
      </c>
      <c r="E998" t="str">
        <f t="shared" si="31"/>
        <v>Direct</v>
      </c>
      <c r="F998" s="13" t="str">
        <f t="shared" si="30"/>
        <v>2024-03</v>
      </c>
    </row>
    <row r="999" spans="1:6" x14ac:dyDescent="0.2">
      <c r="A999" s="2">
        <v>45358</v>
      </c>
      <c r="B999" s="1" t="s">
        <v>985</v>
      </c>
      <c r="C999" s="1" t="s">
        <v>297</v>
      </c>
      <c r="D999" s="4">
        <v>25642</v>
      </c>
      <c r="E999" t="str">
        <f t="shared" si="31"/>
        <v>Direct</v>
      </c>
      <c r="F999" s="13" t="str">
        <f t="shared" si="30"/>
        <v>2024-03</v>
      </c>
    </row>
    <row r="1000" spans="1:6" x14ac:dyDescent="0.2">
      <c r="A1000" s="2">
        <v>45363</v>
      </c>
      <c r="B1000" s="1" t="s">
        <v>535</v>
      </c>
      <c r="C1000" s="1" t="s">
        <v>296</v>
      </c>
      <c r="D1000" s="4">
        <v>1000</v>
      </c>
      <c r="E1000" t="str">
        <f t="shared" si="31"/>
        <v>Direct</v>
      </c>
      <c r="F1000" s="13" t="str">
        <f t="shared" si="30"/>
        <v>2024-03</v>
      </c>
    </row>
    <row r="1001" spans="1:6" x14ac:dyDescent="0.2">
      <c r="A1001" s="2">
        <v>45369</v>
      </c>
      <c r="B1001" s="1" t="s">
        <v>536</v>
      </c>
      <c r="C1001" s="1" t="s">
        <v>297</v>
      </c>
      <c r="D1001" s="4">
        <v>200</v>
      </c>
      <c r="E1001" t="str">
        <f t="shared" si="31"/>
        <v>Direct</v>
      </c>
      <c r="F1001" s="13" t="str">
        <f t="shared" si="30"/>
        <v>2024-03</v>
      </c>
    </row>
    <row r="1002" spans="1:6" x14ac:dyDescent="0.2">
      <c r="A1002" s="2">
        <v>45370</v>
      </c>
      <c r="B1002" s="1" t="s">
        <v>298</v>
      </c>
      <c r="C1002" s="1" t="s">
        <v>295</v>
      </c>
      <c r="D1002" s="4">
        <v>1100</v>
      </c>
      <c r="E1002" t="str">
        <f t="shared" si="31"/>
        <v>Direct</v>
      </c>
      <c r="F1002" s="13" t="str">
        <f t="shared" si="30"/>
        <v>2024-03</v>
      </c>
    </row>
    <row r="1003" spans="1:6" x14ac:dyDescent="0.2">
      <c r="A1003" s="2">
        <v>45370</v>
      </c>
      <c r="B1003" s="1" t="s">
        <v>298</v>
      </c>
      <c r="C1003" s="1" t="s">
        <v>297</v>
      </c>
      <c r="D1003" s="4">
        <v>1100</v>
      </c>
      <c r="E1003" t="str">
        <f t="shared" si="31"/>
        <v>Direct</v>
      </c>
      <c r="F1003" s="13" t="str">
        <f t="shared" si="30"/>
        <v>2024-03</v>
      </c>
    </row>
    <row r="1004" spans="1:6" x14ac:dyDescent="0.2">
      <c r="A1004" s="2">
        <v>45370</v>
      </c>
      <c r="B1004" s="1" t="s">
        <v>9</v>
      </c>
      <c r="C1004" s="1" t="s">
        <v>297</v>
      </c>
      <c r="D1004" s="4">
        <v>270</v>
      </c>
      <c r="E1004" t="str">
        <f t="shared" si="31"/>
        <v>Direct</v>
      </c>
      <c r="F1004" s="13" t="str">
        <f t="shared" si="30"/>
        <v>2024-03</v>
      </c>
    </row>
    <row r="1005" spans="1:6" x14ac:dyDescent="0.2">
      <c r="A1005" s="2">
        <v>45376</v>
      </c>
      <c r="B1005" s="1" t="s">
        <v>226</v>
      </c>
      <c r="C1005" s="1" t="s">
        <v>994</v>
      </c>
      <c r="D1005" s="4">
        <v>200</v>
      </c>
      <c r="E1005" t="str">
        <f t="shared" si="31"/>
        <v>Shared</v>
      </c>
      <c r="F1005" s="13" t="str">
        <f t="shared" si="30"/>
        <v>2024-03</v>
      </c>
    </row>
    <row r="1006" spans="1:6" x14ac:dyDescent="0.2">
      <c r="A1006" s="2">
        <v>45376</v>
      </c>
      <c r="B1006" s="1" t="s">
        <v>9</v>
      </c>
      <c r="C1006" s="1" t="s">
        <v>295</v>
      </c>
      <c r="D1006" s="4">
        <v>300</v>
      </c>
      <c r="E1006" t="str">
        <f t="shared" si="31"/>
        <v>Direct</v>
      </c>
      <c r="F1006" s="13" t="str">
        <f t="shared" si="30"/>
        <v>2024-03</v>
      </c>
    </row>
    <row r="1007" spans="1:6" x14ac:dyDescent="0.2">
      <c r="A1007" s="2">
        <v>45376</v>
      </c>
      <c r="B1007" s="1" t="s">
        <v>5</v>
      </c>
      <c r="C1007" s="1" t="s">
        <v>994</v>
      </c>
      <c r="D1007" s="4">
        <v>500</v>
      </c>
      <c r="E1007" t="str">
        <f t="shared" si="31"/>
        <v>Shared</v>
      </c>
      <c r="F1007" s="13" t="str">
        <f t="shared" si="30"/>
        <v>2024-03</v>
      </c>
    </row>
    <row r="1008" spans="1:6" x14ac:dyDescent="0.2">
      <c r="A1008" s="2">
        <v>45378</v>
      </c>
      <c r="B1008" s="1" t="s">
        <v>226</v>
      </c>
      <c r="C1008" s="1" t="s">
        <v>994</v>
      </c>
      <c r="D1008" s="4">
        <v>200</v>
      </c>
      <c r="E1008" t="str">
        <f t="shared" si="31"/>
        <v>Shared</v>
      </c>
      <c r="F1008" s="13" t="str">
        <f t="shared" si="30"/>
        <v>2024-03</v>
      </c>
    </row>
    <row r="1009" spans="1:6" x14ac:dyDescent="0.2">
      <c r="A1009" s="2">
        <v>45383</v>
      </c>
      <c r="B1009" s="1" t="s">
        <v>228</v>
      </c>
      <c r="C1009" s="1" t="s">
        <v>994</v>
      </c>
      <c r="D1009" s="4">
        <v>620</v>
      </c>
      <c r="E1009" t="str">
        <f t="shared" si="31"/>
        <v>Shared</v>
      </c>
      <c r="F1009" s="13" t="str">
        <f t="shared" si="30"/>
        <v>2024-04</v>
      </c>
    </row>
    <row r="1010" spans="1:6" x14ac:dyDescent="0.2">
      <c r="A1010" s="2">
        <v>45383</v>
      </c>
      <c r="B1010" s="1" t="s">
        <v>229</v>
      </c>
      <c r="C1010" s="1" t="s">
        <v>994</v>
      </c>
      <c r="D1010" s="4">
        <v>300</v>
      </c>
      <c r="E1010" t="str">
        <f t="shared" si="31"/>
        <v>Shared</v>
      </c>
      <c r="F1010" s="13" t="str">
        <f t="shared" si="30"/>
        <v>2024-04</v>
      </c>
    </row>
    <row r="1011" spans="1:6" x14ac:dyDescent="0.2">
      <c r="A1011" s="2">
        <v>45383</v>
      </c>
      <c r="B1011" s="1" t="s">
        <v>230</v>
      </c>
      <c r="C1011" s="1" t="s">
        <v>994</v>
      </c>
      <c r="D1011" s="4">
        <v>1700</v>
      </c>
      <c r="E1011" t="str">
        <f t="shared" si="31"/>
        <v>Shared</v>
      </c>
      <c r="F1011" s="13" t="str">
        <f t="shared" si="30"/>
        <v>2024-04</v>
      </c>
    </row>
    <row r="1012" spans="1:6" x14ac:dyDescent="0.2">
      <c r="A1012" s="2">
        <v>45383</v>
      </c>
      <c r="B1012" s="1" t="s">
        <v>231</v>
      </c>
      <c r="C1012" s="1" t="s">
        <v>994</v>
      </c>
      <c r="D1012" s="4">
        <v>350</v>
      </c>
      <c r="E1012" t="str">
        <f t="shared" si="31"/>
        <v>Shared</v>
      </c>
      <c r="F1012" s="13" t="str">
        <f t="shared" si="30"/>
        <v>2024-04</v>
      </c>
    </row>
    <row r="1013" spans="1:6" x14ac:dyDescent="0.2">
      <c r="A1013" s="2">
        <v>45383</v>
      </c>
      <c r="B1013" s="1" t="s">
        <v>315</v>
      </c>
      <c r="C1013" s="1" t="s">
        <v>295</v>
      </c>
      <c r="D1013" s="4">
        <v>360</v>
      </c>
      <c r="E1013" t="str">
        <f t="shared" si="31"/>
        <v>Direct</v>
      </c>
      <c r="F1013" s="13" t="str">
        <f t="shared" si="30"/>
        <v>2024-04</v>
      </c>
    </row>
    <row r="1014" spans="1:6" x14ac:dyDescent="0.2">
      <c r="A1014" s="2">
        <v>45383</v>
      </c>
      <c r="B1014" s="1" t="s">
        <v>314</v>
      </c>
      <c r="C1014" s="1" t="s">
        <v>295</v>
      </c>
      <c r="D1014" s="4">
        <v>2000</v>
      </c>
      <c r="E1014" t="str">
        <f t="shared" si="31"/>
        <v>Direct</v>
      </c>
      <c r="F1014" s="13" t="str">
        <f t="shared" si="30"/>
        <v>2024-04</v>
      </c>
    </row>
    <row r="1015" spans="1:6" x14ac:dyDescent="0.2">
      <c r="A1015" s="2">
        <v>45383</v>
      </c>
      <c r="B1015" s="1" t="s">
        <v>384</v>
      </c>
      <c r="C1015" s="1" t="s">
        <v>297</v>
      </c>
      <c r="D1015" s="4">
        <v>1100</v>
      </c>
      <c r="E1015" t="str">
        <f t="shared" si="31"/>
        <v>Direct</v>
      </c>
      <c r="F1015" s="13" t="str">
        <f t="shared" si="30"/>
        <v>2024-04</v>
      </c>
    </row>
    <row r="1016" spans="1:6" x14ac:dyDescent="0.2">
      <c r="A1016" s="2">
        <v>45383</v>
      </c>
      <c r="B1016" s="1" t="s">
        <v>9</v>
      </c>
      <c r="C1016" s="1" t="s">
        <v>297</v>
      </c>
      <c r="D1016" s="4">
        <v>280</v>
      </c>
      <c r="E1016" t="str">
        <f t="shared" si="31"/>
        <v>Direct</v>
      </c>
      <c r="F1016" s="13" t="str">
        <f t="shared" si="30"/>
        <v>2024-04</v>
      </c>
    </row>
    <row r="1017" spans="1:6" x14ac:dyDescent="0.2">
      <c r="A1017" s="2">
        <v>45389</v>
      </c>
      <c r="B1017" s="1" t="s">
        <v>985</v>
      </c>
      <c r="C1017" s="1" t="s">
        <v>295</v>
      </c>
      <c r="D1017" s="4">
        <v>25642</v>
      </c>
      <c r="E1017" t="str">
        <f t="shared" si="31"/>
        <v>Direct</v>
      </c>
      <c r="F1017" s="13" t="str">
        <f t="shared" si="30"/>
        <v>2024-04</v>
      </c>
    </row>
    <row r="1018" spans="1:6" x14ac:dyDescent="0.2">
      <c r="A1018" s="2">
        <v>45389</v>
      </c>
      <c r="B1018" s="1" t="s">
        <v>985</v>
      </c>
      <c r="C1018" s="1" t="s">
        <v>296</v>
      </c>
      <c r="D1018" s="4">
        <v>13103.46</v>
      </c>
      <c r="E1018" t="str">
        <f t="shared" si="31"/>
        <v>Direct</v>
      </c>
      <c r="F1018" s="13" t="str">
        <f t="shared" si="30"/>
        <v>2024-04</v>
      </c>
    </row>
    <row r="1019" spans="1:6" x14ac:dyDescent="0.2">
      <c r="A1019" s="2">
        <v>45389</v>
      </c>
      <c r="B1019" s="1" t="s">
        <v>985</v>
      </c>
      <c r="C1019" s="1" t="s">
        <v>297</v>
      </c>
      <c r="D1019" s="4">
        <v>25642</v>
      </c>
      <c r="E1019" t="str">
        <f t="shared" si="31"/>
        <v>Direct</v>
      </c>
      <c r="F1019" s="13" t="str">
        <f t="shared" si="30"/>
        <v>2024-04</v>
      </c>
    </row>
    <row r="1020" spans="1:6" x14ac:dyDescent="0.2">
      <c r="A1020" s="2">
        <v>45396</v>
      </c>
      <c r="B1020" s="1" t="s">
        <v>537</v>
      </c>
      <c r="C1020" s="1" t="s">
        <v>297</v>
      </c>
      <c r="D1020" s="4">
        <v>300</v>
      </c>
      <c r="E1020" t="str">
        <f t="shared" si="31"/>
        <v>Direct</v>
      </c>
      <c r="F1020" s="13" t="str">
        <f t="shared" si="30"/>
        <v>2024-04</v>
      </c>
    </row>
    <row r="1021" spans="1:6" x14ac:dyDescent="0.2">
      <c r="A1021" s="2">
        <v>45398</v>
      </c>
      <c r="B1021" s="1" t="s">
        <v>539</v>
      </c>
      <c r="C1021" s="1" t="s">
        <v>296</v>
      </c>
      <c r="D1021" s="4">
        <v>7500</v>
      </c>
      <c r="E1021" t="str">
        <f t="shared" si="31"/>
        <v>Direct</v>
      </c>
      <c r="F1021" s="13" t="str">
        <f t="shared" si="30"/>
        <v>2024-04</v>
      </c>
    </row>
    <row r="1022" spans="1:6" x14ac:dyDescent="0.2">
      <c r="A1022" s="2">
        <v>45398</v>
      </c>
      <c r="B1022" s="1" t="s">
        <v>183</v>
      </c>
      <c r="C1022" s="1" t="s">
        <v>994</v>
      </c>
      <c r="D1022" s="4">
        <v>3000</v>
      </c>
      <c r="E1022" t="str">
        <f t="shared" si="31"/>
        <v>Shared</v>
      </c>
      <c r="F1022" s="13" t="str">
        <f t="shared" si="30"/>
        <v>2024-04</v>
      </c>
    </row>
    <row r="1023" spans="1:6" x14ac:dyDescent="0.2">
      <c r="A1023" s="2">
        <v>45399</v>
      </c>
      <c r="B1023" s="1" t="s">
        <v>226</v>
      </c>
      <c r="C1023" s="1" t="s">
        <v>994</v>
      </c>
      <c r="D1023" s="4">
        <v>250</v>
      </c>
      <c r="E1023" t="str">
        <f t="shared" si="31"/>
        <v>Shared</v>
      </c>
      <c r="F1023" s="13" t="str">
        <f t="shared" si="30"/>
        <v>2024-04</v>
      </c>
    </row>
    <row r="1024" spans="1:6" x14ac:dyDescent="0.2">
      <c r="A1024" s="2">
        <v>45399</v>
      </c>
      <c r="B1024" s="1" t="s">
        <v>538</v>
      </c>
      <c r="C1024" s="1" t="s">
        <v>295</v>
      </c>
      <c r="D1024" s="4">
        <v>1100</v>
      </c>
      <c r="E1024" t="str">
        <f t="shared" si="31"/>
        <v>Direct</v>
      </c>
      <c r="F1024" s="13" t="str">
        <f t="shared" si="30"/>
        <v>2024-04</v>
      </c>
    </row>
    <row r="1025" spans="1:6" x14ac:dyDescent="0.2">
      <c r="A1025" s="2">
        <v>45399</v>
      </c>
      <c r="B1025" s="1" t="s">
        <v>9</v>
      </c>
      <c r="C1025" s="1" t="s">
        <v>295</v>
      </c>
      <c r="D1025" s="4">
        <v>260</v>
      </c>
      <c r="E1025" t="str">
        <f t="shared" si="31"/>
        <v>Direct</v>
      </c>
      <c r="F1025" s="13" t="str">
        <f t="shared" si="30"/>
        <v>2024-04</v>
      </c>
    </row>
    <row r="1026" spans="1:6" x14ac:dyDescent="0.2">
      <c r="A1026" s="2">
        <v>45399</v>
      </c>
      <c r="B1026" s="1" t="s">
        <v>232</v>
      </c>
      <c r="C1026" s="1" t="s">
        <v>994</v>
      </c>
      <c r="D1026" s="4">
        <v>780</v>
      </c>
      <c r="E1026" t="str">
        <f t="shared" si="31"/>
        <v>Shared</v>
      </c>
      <c r="F1026" s="13" t="str">
        <f t="shared" ref="F1026:F1089" si="32">YEAR(A1026)&amp;"-"&amp;TEXT(MONTH(A1026),"00")</f>
        <v>2024-04</v>
      </c>
    </row>
    <row r="1027" spans="1:6" x14ac:dyDescent="0.2">
      <c r="A1027" s="2">
        <v>45404</v>
      </c>
      <c r="B1027" s="1" t="s">
        <v>542</v>
      </c>
      <c r="C1027" s="1" t="s">
        <v>296</v>
      </c>
      <c r="D1027" s="4">
        <v>250</v>
      </c>
      <c r="E1027" t="str">
        <f t="shared" ref="E1027:E1090" si="33">IF(OR(C1027="A302", C1027="B303", C1027="C301"), "Direct", "Shared")</f>
        <v>Direct</v>
      </c>
      <c r="F1027" s="13" t="str">
        <f t="shared" si="32"/>
        <v>2024-04</v>
      </c>
    </row>
    <row r="1028" spans="1:6" x14ac:dyDescent="0.2">
      <c r="A1028" s="2">
        <v>45404</v>
      </c>
      <c r="B1028" s="1" t="s">
        <v>543</v>
      </c>
      <c r="C1028" s="1" t="s">
        <v>297</v>
      </c>
      <c r="D1028" s="4">
        <v>250</v>
      </c>
      <c r="E1028" t="str">
        <f t="shared" si="33"/>
        <v>Direct</v>
      </c>
      <c r="F1028" s="13" t="str">
        <f t="shared" si="32"/>
        <v>2024-04</v>
      </c>
    </row>
    <row r="1029" spans="1:6" x14ac:dyDescent="0.2">
      <c r="A1029" s="2">
        <v>45405</v>
      </c>
      <c r="B1029" s="1" t="s">
        <v>546</v>
      </c>
      <c r="C1029" s="1" t="s">
        <v>296</v>
      </c>
      <c r="D1029" s="4">
        <v>300</v>
      </c>
      <c r="E1029" t="str">
        <f t="shared" si="33"/>
        <v>Direct</v>
      </c>
      <c r="F1029" s="13" t="str">
        <f t="shared" si="32"/>
        <v>2024-04</v>
      </c>
    </row>
    <row r="1030" spans="1:6" x14ac:dyDescent="0.2">
      <c r="A1030" s="2">
        <v>45405</v>
      </c>
      <c r="B1030" s="1" t="s">
        <v>549</v>
      </c>
      <c r="C1030" s="1" t="s">
        <v>297</v>
      </c>
      <c r="D1030" s="4">
        <v>900</v>
      </c>
      <c r="E1030" t="str">
        <f t="shared" si="33"/>
        <v>Direct</v>
      </c>
      <c r="F1030" s="13" t="str">
        <f t="shared" si="32"/>
        <v>2024-04</v>
      </c>
    </row>
    <row r="1031" spans="1:6" x14ac:dyDescent="0.2">
      <c r="A1031" s="2">
        <v>45406</v>
      </c>
      <c r="B1031" s="1" t="s">
        <v>540</v>
      </c>
      <c r="C1031" s="1" t="s">
        <v>297</v>
      </c>
      <c r="D1031" s="4">
        <v>1300</v>
      </c>
      <c r="E1031" t="str">
        <f t="shared" si="33"/>
        <v>Direct</v>
      </c>
      <c r="F1031" s="13" t="str">
        <f t="shared" si="32"/>
        <v>2024-04</v>
      </c>
    </row>
    <row r="1032" spans="1:6" x14ac:dyDescent="0.2">
      <c r="A1032" s="2">
        <v>45406</v>
      </c>
      <c r="B1032" s="1" t="s">
        <v>541</v>
      </c>
      <c r="C1032" s="1" t="s">
        <v>297</v>
      </c>
      <c r="D1032" s="4">
        <v>2000</v>
      </c>
      <c r="E1032" t="str">
        <f t="shared" si="33"/>
        <v>Direct</v>
      </c>
      <c r="F1032" s="13" t="str">
        <f t="shared" si="32"/>
        <v>2024-04</v>
      </c>
    </row>
    <row r="1033" spans="1:6" x14ac:dyDescent="0.2">
      <c r="A1033" s="2">
        <v>45406</v>
      </c>
      <c r="B1033" s="1" t="s">
        <v>508</v>
      </c>
      <c r="C1033" s="1" t="s">
        <v>297</v>
      </c>
      <c r="D1033" s="4">
        <v>600</v>
      </c>
      <c r="E1033" t="str">
        <f t="shared" si="33"/>
        <v>Direct</v>
      </c>
      <c r="F1033" s="13" t="str">
        <f t="shared" si="32"/>
        <v>2024-04</v>
      </c>
    </row>
    <row r="1034" spans="1:6" x14ac:dyDescent="0.2">
      <c r="A1034" s="2">
        <v>45407</v>
      </c>
      <c r="B1034" s="1" t="s">
        <v>547</v>
      </c>
      <c r="C1034" s="1" t="s">
        <v>295</v>
      </c>
      <c r="D1034" s="4">
        <v>400</v>
      </c>
      <c r="E1034" t="str">
        <f t="shared" si="33"/>
        <v>Direct</v>
      </c>
      <c r="F1034" s="13" t="str">
        <f t="shared" si="32"/>
        <v>2024-04</v>
      </c>
    </row>
    <row r="1035" spans="1:6" x14ac:dyDescent="0.2">
      <c r="A1035" s="2">
        <v>45408</v>
      </c>
      <c r="B1035" s="1" t="s">
        <v>298</v>
      </c>
      <c r="C1035" s="1" t="s">
        <v>297</v>
      </c>
      <c r="D1035" s="4">
        <v>1100</v>
      </c>
      <c r="E1035" t="str">
        <f t="shared" si="33"/>
        <v>Direct</v>
      </c>
      <c r="F1035" s="13" t="str">
        <f t="shared" si="32"/>
        <v>2024-04</v>
      </c>
    </row>
    <row r="1036" spans="1:6" x14ac:dyDescent="0.2">
      <c r="A1036" s="2">
        <v>45408</v>
      </c>
      <c r="B1036" s="1" t="s">
        <v>9</v>
      </c>
      <c r="C1036" s="1" t="s">
        <v>297</v>
      </c>
      <c r="D1036" s="4">
        <v>250</v>
      </c>
      <c r="E1036" t="str">
        <f t="shared" si="33"/>
        <v>Direct</v>
      </c>
      <c r="F1036" s="13" t="str">
        <f t="shared" si="32"/>
        <v>2024-04</v>
      </c>
    </row>
    <row r="1037" spans="1:6" x14ac:dyDescent="0.2">
      <c r="A1037" s="2">
        <v>45410</v>
      </c>
      <c r="B1037" s="1" t="s">
        <v>298</v>
      </c>
      <c r="C1037" s="1" t="s">
        <v>296</v>
      </c>
      <c r="D1037" s="4">
        <v>1000</v>
      </c>
      <c r="E1037" t="str">
        <f t="shared" si="33"/>
        <v>Direct</v>
      </c>
      <c r="F1037" s="13" t="str">
        <f t="shared" si="32"/>
        <v>2024-04</v>
      </c>
    </row>
    <row r="1038" spans="1:6" x14ac:dyDescent="0.2">
      <c r="A1038" s="2">
        <v>45410</v>
      </c>
      <c r="B1038" s="1" t="s">
        <v>9</v>
      </c>
      <c r="C1038" s="1" t="s">
        <v>296</v>
      </c>
      <c r="D1038" s="4">
        <v>180</v>
      </c>
      <c r="E1038" t="str">
        <f t="shared" si="33"/>
        <v>Direct</v>
      </c>
      <c r="F1038" s="13" t="str">
        <f t="shared" si="32"/>
        <v>2024-04</v>
      </c>
    </row>
    <row r="1039" spans="1:6" x14ac:dyDescent="0.2">
      <c r="A1039" s="2">
        <v>45417</v>
      </c>
      <c r="B1039" s="1" t="s">
        <v>542</v>
      </c>
      <c r="C1039" s="1" t="s">
        <v>297</v>
      </c>
      <c r="D1039" s="4">
        <v>200</v>
      </c>
      <c r="E1039" t="str">
        <f t="shared" si="33"/>
        <v>Direct</v>
      </c>
      <c r="F1039" s="13" t="str">
        <f t="shared" si="32"/>
        <v>2024-05</v>
      </c>
    </row>
    <row r="1040" spans="1:6" x14ac:dyDescent="0.2">
      <c r="A1040" s="2">
        <v>45418</v>
      </c>
      <c r="B1040" s="1" t="s">
        <v>298</v>
      </c>
      <c r="C1040" s="1" t="s">
        <v>295</v>
      </c>
      <c r="D1040" s="4">
        <v>1100</v>
      </c>
      <c r="E1040" t="str">
        <f t="shared" si="33"/>
        <v>Direct</v>
      </c>
      <c r="F1040" s="13" t="str">
        <f t="shared" si="32"/>
        <v>2024-05</v>
      </c>
    </row>
    <row r="1041" spans="1:6" x14ac:dyDescent="0.2">
      <c r="A1041" s="2">
        <v>45418</v>
      </c>
      <c r="B1041" s="1" t="s">
        <v>9</v>
      </c>
      <c r="C1041" s="1" t="s">
        <v>295</v>
      </c>
      <c r="D1041" s="4">
        <v>260</v>
      </c>
      <c r="E1041" t="str">
        <f t="shared" si="33"/>
        <v>Direct</v>
      </c>
      <c r="F1041" s="13" t="str">
        <f t="shared" si="32"/>
        <v>2024-05</v>
      </c>
    </row>
    <row r="1042" spans="1:6" x14ac:dyDescent="0.2">
      <c r="A1042" s="2">
        <v>45418</v>
      </c>
      <c r="B1042" s="1" t="s">
        <v>233</v>
      </c>
      <c r="C1042" s="1" t="s">
        <v>994</v>
      </c>
      <c r="D1042" s="4">
        <v>2200</v>
      </c>
      <c r="E1042" t="str">
        <f t="shared" si="33"/>
        <v>Shared</v>
      </c>
      <c r="F1042" s="13" t="str">
        <f t="shared" si="32"/>
        <v>2024-05</v>
      </c>
    </row>
    <row r="1043" spans="1:6" x14ac:dyDescent="0.2">
      <c r="A1043" s="2">
        <v>45419</v>
      </c>
      <c r="B1043" s="1" t="s">
        <v>985</v>
      </c>
      <c r="C1043" s="1" t="s">
        <v>295</v>
      </c>
      <c r="D1043" s="4">
        <v>27502</v>
      </c>
      <c r="E1043" t="str">
        <f t="shared" si="33"/>
        <v>Direct</v>
      </c>
      <c r="F1043" s="13" t="str">
        <f t="shared" si="32"/>
        <v>2024-05</v>
      </c>
    </row>
    <row r="1044" spans="1:6" x14ac:dyDescent="0.2">
      <c r="A1044" s="2">
        <v>45419</v>
      </c>
      <c r="B1044" s="1" t="s">
        <v>985</v>
      </c>
      <c r="C1044" s="1" t="s">
        <v>296</v>
      </c>
      <c r="D1044" s="4">
        <v>15033.81</v>
      </c>
      <c r="E1044" t="str">
        <f t="shared" si="33"/>
        <v>Direct</v>
      </c>
      <c r="F1044" s="13" t="str">
        <f t="shared" si="32"/>
        <v>2024-05</v>
      </c>
    </row>
    <row r="1045" spans="1:6" x14ac:dyDescent="0.2">
      <c r="A1045" s="2">
        <v>45419</v>
      </c>
      <c r="B1045" s="1" t="s">
        <v>985</v>
      </c>
      <c r="C1045" s="1" t="s">
        <v>297</v>
      </c>
      <c r="D1045" s="4">
        <v>27502</v>
      </c>
      <c r="E1045" t="str">
        <f t="shared" si="33"/>
        <v>Direct</v>
      </c>
      <c r="F1045" s="13" t="str">
        <f t="shared" si="32"/>
        <v>2024-05</v>
      </c>
    </row>
    <row r="1046" spans="1:6" x14ac:dyDescent="0.2">
      <c r="A1046" s="2">
        <v>45423</v>
      </c>
      <c r="B1046" s="1" t="s">
        <v>403</v>
      </c>
      <c r="C1046" s="1" t="s">
        <v>295</v>
      </c>
      <c r="D1046" s="4">
        <v>200</v>
      </c>
      <c r="E1046" t="str">
        <f t="shared" si="33"/>
        <v>Direct</v>
      </c>
      <c r="F1046" s="13" t="str">
        <f t="shared" si="32"/>
        <v>2024-05</v>
      </c>
    </row>
    <row r="1047" spans="1:6" x14ac:dyDescent="0.2">
      <c r="A1047" s="2">
        <v>45425</v>
      </c>
      <c r="B1047" s="1" t="s">
        <v>544</v>
      </c>
      <c r="C1047" s="1" t="s">
        <v>295</v>
      </c>
      <c r="D1047" s="4">
        <v>200</v>
      </c>
      <c r="E1047" t="str">
        <f t="shared" si="33"/>
        <v>Direct</v>
      </c>
      <c r="F1047" s="13" t="str">
        <f t="shared" si="32"/>
        <v>2024-05</v>
      </c>
    </row>
    <row r="1048" spans="1:6" x14ac:dyDescent="0.2">
      <c r="A1048" s="2">
        <v>45425</v>
      </c>
      <c r="B1048" s="1" t="s">
        <v>314</v>
      </c>
      <c r="C1048" s="1" t="s">
        <v>297</v>
      </c>
      <c r="D1048" s="4">
        <v>2000</v>
      </c>
      <c r="E1048" t="str">
        <f t="shared" si="33"/>
        <v>Direct</v>
      </c>
      <c r="F1048" s="13" t="str">
        <f t="shared" si="32"/>
        <v>2024-05</v>
      </c>
    </row>
    <row r="1049" spans="1:6" x14ac:dyDescent="0.2">
      <c r="A1049" s="2">
        <v>45425</v>
      </c>
      <c r="B1049" s="1" t="s">
        <v>234</v>
      </c>
      <c r="C1049" s="1" t="s">
        <v>994</v>
      </c>
      <c r="D1049" s="4">
        <v>600</v>
      </c>
      <c r="E1049" t="str">
        <f t="shared" si="33"/>
        <v>Shared</v>
      </c>
      <c r="F1049" s="13" t="str">
        <f t="shared" si="32"/>
        <v>2024-05</v>
      </c>
    </row>
    <row r="1050" spans="1:6" x14ac:dyDescent="0.2">
      <c r="A1050" s="2">
        <v>45425</v>
      </c>
      <c r="B1050" s="1" t="s">
        <v>315</v>
      </c>
      <c r="C1050" s="1" t="s">
        <v>297</v>
      </c>
      <c r="D1050" s="4">
        <v>360</v>
      </c>
      <c r="E1050" t="str">
        <f t="shared" si="33"/>
        <v>Direct</v>
      </c>
      <c r="F1050" s="13" t="str">
        <f t="shared" si="32"/>
        <v>2024-05</v>
      </c>
    </row>
    <row r="1051" spans="1:6" x14ac:dyDescent="0.2">
      <c r="A1051" s="2">
        <v>45426</v>
      </c>
      <c r="B1051" s="1" t="s">
        <v>235</v>
      </c>
      <c r="C1051" s="1" t="s">
        <v>994</v>
      </c>
      <c r="D1051" s="4">
        <v>400</v>
      </c>
      <c r="E1051" t="str">
        <f t="shared" si="33"/>
        <v>Shared</v>
      </c>
      <c r="F1051" s="13" t="str">
        <f t="shared" si="32"/>
        <v>2024-05</v>
      </c>
    </row>
    <row r="1052" spans="1:6" x14ac:dyDescent="0.2">
      <c r="A1052" s="2">
        <v>45426</v>
      </c>
      <c r="B1052" s="1" t="s">
        <v>298</v>
      </c>
      <c r="C1052" s="1" t="s">
        <v>296</v>
      </c>
      <c r="D1052" s="4">
        <v>1100</v>
      </c>
      <c r="E1052" t="str">
        <f t="shared" si="33"/>
        <v>Direct</v>
      </c>
      <c r="F1052" s="13" t="str">
        <f t="shared" si="32"/>
        <v>2024-05</v>
      </c>
    </row>
    <row r="1053" spans="1:6" x14ac:dyDescent="0.2">
      <c r="A1053" s="2">
        <v>45426</v>
      </c>
      <c r="B1053" s="1" t="s">
        <v>9</v>
      </c>
      <c r="C1053" s="1" t="s">
        <v>296</v>
      </c>
      <c r="D1053" s="4">
        <v>350</v>
      </c>
      <c r="E1053" t="str">
        <f t="shared" si="33"/>
        <v>Direct</v>
      </c>
      <c r="F1053" s="13" t="str">
        <f t="shared" si="32"/>
        <v>2024-05</v>
      </c>
    </row>
    <row r="1054" spans="1:6" x14ac:dyDescent="0.2">
      <c r="A1054" s="2">
        <v>45426</v>
      </c>
      <c r="B1054" s="1" t="s">
        <v>545</v>
      </c>
      <c r="C1054" s="1" t="s">
        <v>295</v>
      </c>
      <c r="D1054" s="4">
        <v>900</v>
      </c>
      <c r="E1054" t="str">
        <f t="shared" si="33"/>
        <v>Direct</v>
      </c>
      <c r="F1054" s="13" t="str">
        <f t="shared" si="32"/>
        <v>2024-05</v>
      </c>
    </row>
    <row r="1055" spans="1:6" x14ac:dyDescent="0.2">
      <c r="A1055" s="2">
        <v>45430</v>
      </c>
      <c r="B1055" s="1" t="s">
        <v>403</v>
      </c>
      <c r="C1055" s="1" t="s">
        <v>295</v>
      </c>
      <c r="D1055" s="4">
        <v>150</v>
      </c>
      <c r="E1055" t="str">
        <f t="shared" si="33"/>
        <v>Direct</v>
      </c>
      <c r="F1055" s="13" t="str">
        <f t="shared" si="32"/>
        <v>2024-05</v>
      </c>
    </row>
    <row r="1056" spans="1:6" x14ac:dyDescent="0.2">
      <c r="A1056" s="2">
        <v>45433</v>
      </c>
      <c r="B1056" s="1" t="s">
        <v>403</v>
      </c>
      <c r="C1056" s="1" t="s">
        <v>295</v>
      </c>
      <c r="D1056" s="4">
        <v>150</v>
      </c>
      <c r="E1056" t="str">
        <f t="shared" si="33"/>
        <v>Direct</v>
      </c>
      <c r="F1056" s="13" t="str">
        <f t="shared" si="32"/>
        <v>2024-05</v>
      </c>
    </row>
    <row r="1057" spans="1:6" x14ac:dyDescent="0.2">
      <c r="A1057" s="2">
        <v>45436</v>
      </c>
      <c r="B1057" s="1" t="s">
        <v>236</v>
      </c>
      <c r="C1057" s="1" t="s">
        <v>296</v>
      </c>
      <c r="D1057" s="4">
        <v>5000</v>
      </c>
      <c r="E1057" t="str">
        <f t="shared" si="33"/>
        <v>Direct</v>
      </c>
      <c r="F1057" s="13" t="str">
        <f t="shared" si="32"/>
        <v>2024-05</v>
      </c>
    </row>
    <row r="1058" spans="1:6" x14ac:dyDescent="0.2">
      <c r="A1058" s="2">
        <v>45438</v>
      </c>
      <c r="B1058" s="1" t="s">
        <v>548</v>
      </c>
      <c r="C1058" s="1" t="s">
        <v>296</v>
      </c>
      <c r="D1058" s="4">
        <v>2000</v>
      </c>
      <c r="E1058" t="str">
        <f t="shared" si="33"/>
        <v>Direct</v>
      </c>
      <c r="F1058" s="13" t="str">
        <f t="shared" si="32"/>
        <v>2024-05</v>
      </c>
    </row>
    <row r="1059" spans="1:6" x14ac:dyDescent="0.2">
      <c r="A1059" s="2">
        <v>45439</v>
      </c>
      <c r="B1059" s="1" t="s">
        <v>298</v>
      </c>
      <c r="C1059" s="1" t="s">
        <v>296</v>
      </c>
      <c r="D1059" s="4">
        <v>1100</v>
      </c>
      <c r="E1059" t="str">
        <f t="shared" si="33"/>
        <v>Direct</v>
      </c>
      <c r="F1059" s="13" t="str">
        <f t="shared" si="32"/>
        <v>2024-05</v>
      </c>
    </row>
    <row r="1060" spans="1:6" x14ac:dyDescent="0.2">
      <c r="A1060" s="2">
        <v>45439</v>
      </c>
      <c r="B1060" s="1" t="s">
        <v>298</v>
      </c>
      <c r="C1060" s="1" t="s">
        <v>295</v>
      </c>
      <c r="D1060" s="4">
        <v>1100</v>
      </c>
      <c r="E1060" t="str">
        <f t="shared" si="33"/>
        <v>Direct</v>
      </c>
      <c r="F1060" s="13" t="str">
        <f t="shared" si="32"/>
        <v>2024-05</v>
      </c>
    </row>
    <row r="1061" spans="1:6" x14ac:dyDescent="0.2">
      <c r="A1061" s="2">
        <v>45439</v>
      </c>
      <c r="B1061" s="1" t="s">
        <v>9</v>
      </c>
      <c r="C1061" s="1" t="s">
        <v>296</v>
      </c>
      <c r="D1061" s="4">
        <v>190</v>
      </c>
      <c r="E1061" t="str">
        <f t="shared" si="33"/>
        <v>Direct</v>
      </c>
      <c r="F1061" s="13" t="str">
        <f t="shared" si="32"/>
        <v>2024-05</v>
      </c>
    </row>
    <row r="1062" spans="1:6" x14ac:dyDescent="0.2">
      <c r="A1062" s="2">
        <v>45439</v>
      </c>
      <c r="B1062" s="1" t="s">
        <v>9</v>
      </c>
      <c r="C1062" s="1" t="s">
        <v>295</v>
      </c>
      <c r="D1062" s="4">
        <v>290</v>
      </c>
      <c r="E1062" t="str">
        <f t="shared" si="33"/>
        <v>Direct</v>
      </c>
      <c r="F1062" s="13" t="str">
        <f t="shared" si="32"/>
        <v>2024-05</v>
      </c>
    </row>
    <row r="1063" spans="1:6" x14ac:dyDescent="0.2">
      <c r="A1063" s="2">
        <v>45448</v>
      </c>
      <c r="B1063" s="1" t="s">
        <v>550</v>
      </c>
      <c r="C1063" s="1" t="s">
        <v>296</v>
      </c>
      <c r="D1063" s="4">
        <v>2050</v>
      </c>
      <c r="E1063" t="str">
        <f t="shared" si="33"/>
        <v>Direct</v>
      </c>
      <c r="F1063" s="13" t="str">
        <f t="shared" si="32"/>
        <v>2024-06</v>
      </c>
    </row>
    <row r="1064" spans="1:6" x14ac:dyDescent="0.2">
      <c r="A1064" s="2">
        <v>45448</v>
      </c>
      <c r="B1064" s="1" t="s">
        <v>551</v>
      </c>
      <c r="C1064" s="1" t="s">
        <v>295</v>
      </c>
      <c r="D1064" s="4">
        <v>1400</v>
      </c>
      <c r="E1064" t="str">
        <f t="shared" si="33"/>
        <v>Direct</v>
      </c>
      <c r="F1064" s="13" t="str">
        <f t="shared" si="32"/>
        <v>2024-06</v>
      </c>
    </row>
    <row r="1065" spans="1:6" x14ac:dyDescent="0.2">
      <c r="A1065" s="2">
        <v>45448</v>
      </c>
      <c r="B1065" s="1" t="s">
        <v>552</v>
      </c>
      <c r="C1065" s="1" t="s">
        <v>295</v>
      </c>
      <c r="D1065" s="4">
        <v>600</v>
      </c>
      <c r="E1065" t="str">
        <f t="shared" si="33"/>
        <v>Direct</v>
      </c>
      <c r="F1065" s="13" t="str">
        <f t="shared" si="32"/>
        <v>2024-06</v>
      </c>
    </row>
    <row r="1066" spans="1:6" x14ac:dyDescent="0.2">
      <c r="A1066" s="2">
        <v>45450</v>
      </c>
      <c r="B1066" s="1" t="s">
        <v>985</v>
      </c>
      <c r="C1066" s="1" t="s">
        <v>295</v>
      </c>
      <c r="D1066" s="4">
        <v>22166</v>
      </c>
      <c r="E1066" t="str">
        <f t="shared" si="33"/>
        <v>Direct</v>
      </c>
      <c r="F1066" s="13" t="str">
        <f t="shared" si="32"/>
        <v>2024-06</v>
      </c>
    </row>
    <row r="1067" spans="1:6" x14ac:dyDescent="0.2">
      <c r="A1067" s="2">
        <v>45450</v>
      </c>
      <c r="B1067" s="1" t="s">
        <v>985</v>
      </c>
      <c r="C1067" s="1" t="s">
        <v>296</v>
      </c>
      <c r="D1067" s="4">
        <v>11326.96</v>
      </c>
      <c r="E1067" t="str">
        <f t="shared" si="33"/>
        <v>Direct</v>
      </c>
      <c r="F1067" s="13" t="str">
        <f t="shared" si="32"/>
        <v>2024-06</v>
      </c>
    </row>
    <row r="1068" spans="1:6" x14ac:dyDescent="0.2">
      <c r="A1068" s="2">
        <v>45450</v>
      </c>
      <c r="B1068" s="1" t="s">
        <v>985</v>
      </c>
      <c r="C1068" s="1" t="s">
        <v>297</v>
      </c>
      <c r="D1068" s="4">
        <v>22166</v>
      </c>
      <c r="E1068" t="str">
        <f t="shared" si="33"/>
        <v>Direct</v>
      </c>
      <c r="F1068" s="13" t="str">
        <f t="shared" si="32"/>
        <v>2024-06</v>
      </c>
    </row>
    <row r="1069" spans="1:6" x14ac:dyDescent="0.2">
      <c r="A1069" s="2">
        <v>45452</v>
      </c>
      <c r="B1069" s="1" t="s">
        <v>373</v>
      </c>
      <c r="C1069" s="1" t="s">
        <v>297</v>
      </c>
      <c r="D1069" s="4">
        <v>300</v>
      </c>
      <c r="E1069" t="str">
        <f t="shared" si="33"/>
        <v>Direct</v>
      </c>
      <c r="F1069" s="13" t="str">
        <f t="shared" si="32"/>
        <v>2024-06</v>
      </c>
    </row>
    <row r="1070" spans="1:6" x14ac:dyDescent="0.2">
      <c r="A1070" s="2">
        <v>45452</v>
      </c>
      <c r="B1070" s="1" t="s">
        <v>363</v>
      </c>
      <c r="C1070" s="1" t="s">
        <v>295</v>
      </c>
      <c r="D1070" s="4">
        <v>800</v>
      </c>
      <c r="E1070" t="str">
        <f t="shared" si="33"/>
        <v>Direct</v>
      </c>
      <c r="F1070" s="13" t="str">
        <f t="shared" si="32"/>
        <v>2024-06</v>
      </c>
    </row>
    <row r="1071" spans="1:6" x14ac:dyDescent="0.2">
      <c r="A1071" s="2">
        <v>45452</v>
      </c>
      <c r="B1071" s="1" t="s">
        <v>366</v>
      </c>
      <c r="C1071" s="1" t="s">
        <v>295</v>
      </c>
      <c r="D1071" s="4">
        <v>200</v>
      </c>
      <c r="E1071" t="str">
        <f t="shared" si="33"/>
        <v>Direct</v>
      </c>
      <c r="F1071" s="13" t="str">
        <f t="shared" si="32"/>
        <v>2024-06</v>
      </c>
    </row>
    <row r="1072" spans="1:6" x14ac:dyDescent="0.2">
      <c r="A1072" s="2">
        <v>45453</v>
      </c>
      <c r="B1072" s="1" t="s">
        <v>1058</v>
      </c>
      <c r="C1072" s="1" t="s">
        <v>296</v>
      </c>
      <c r="D1072" s="4">
        <v>300</v>
      </c>
      <c r="E1072" t="str">
        <f t="shared" si="33"/>
        <v>Direct</v>
      </c>
      <c r="F1072" s="13" t="str">
        <f t="shared" si="32"/>
        <v>2024-06</v>
      </c>
    </row>
    <row r="1073" spans="1:6" x14ac:dyDescent="0.2">
      <c r="A1073" s="2">
        <v>45456</v>
      </c>
      <c r="B1073" s="1" t="s">
        <v>373</v>
      </c>
      <c r="C1073" s="1" t="s">
        <v>295</v>
      </c>
      <c r="D1073" s="4">
        <v>300</v>
      </c>
      <c r="E1073" t="str">
        <f t="shared" si="33"/>
        <v>Direct</v>
      </c>
      <c r="F1073" s="13" t="str">
        <f t="shared" si="32"/>
        <v>2024-06</v>
      </c>
    </row>
    <row r="1074" spans="1:6" x14ac:dyDescent="0.2">
      <c r="A1074" s="2">
        <v>45456</v>
      </c>
      <c r="B1074" s="1" t="s">
        <v>553</v>
      </c>
      <c r="C1074" s="1" t="s">
        <v>295</v>
      </c>
      <c r="D1074" s="4">
        <v>450</v>
      </c>
      <c r="E1074" t="str">
        <f t="shared" si="33"/>
        <v>Direct</v>
      </c>
      <c r="F1074" s="13" t="str">
        <f t="shared" si="32"/>
        <v>2024-06</v>
      </c>
    </row>
    <row r="1075" spans="1:6" x14ac:dyDescent="0.2">
      <c r="A1075" s="2">
        <v>45456</v>
      </c>
      <c r="B1075" s="1" t="s">
        <v>9</v>
      </c>
      <c r="C1075" s="1" t="s">
        <v>295</v>
      </c>
      <c r="D1075" s="4">
        <v>300</v>
      </c>
      <c r="E1075" t="str">
        <f t="shared" si="33"/>
        <v>Direct</v>
      </c>
      <c r="F1075" s="13" t="str">
        <f t="shared" si="32"/>
        <v>2024-06</v>
      </c>
    </row>
    <row r="1076" spans="1:6" x14ac:dyDescent="0.2">
      <c r="A1076" s="2">
        <v>45456</v>
      </c>
      <c r="B1076" s="1" t="s">
        <v>9</v>
      </c>
      <c r="C1076" s="1" t="s">
        <v>295</v>
      </c>
      <c r="D1076" s="4">
        <v>240</v>
      </c>
      <c r="E1076" t="str">
        <f t="shared" si="33"/>
        <v>Direct</v>
      </c>
      <c r="F1076" s="13" t="str">
        <f t="shared" si="32"/>
        <v>2024-06</v>
      </c>
    </row>
    <row r="1077" spans="1:6" x14ac:dyDescent="0.2">
      <c r="A1077" s="2">
        <v>45460</v>
      </c>
      <c r="B1077" s="1" t="s">
        <v>1059</v>
      </c>
      <c r="C1077" s="1" t="s">
        <v>994</v>
      </c>
      <c r="D1077" s="4">
        <v>300</v>
      </c>
      <c r="E1077" t="str">
        <f t="shared" si="33"/>
        <v>Shared</v>
      </c>
      <c r="F1077" s="13" t="str">
        <f t="shared" si="32"/>
        <v>2024-06</v>
      </c>
    </row>
    <row r="1078" spans="1:6" x14ac:dyDescent="0.2">
      <c r="A1078" s="2">
        <v>45465</v>
      </c>
      <c r="B1078" s="1" t="s">
        <v>222</v>
      </c>
      <c r="C1078" s="1" t="s">
        <v>994</v>
      </c>
      <c r="D1078" s="4">
        <v>400</v>
      </c>
      <c r="E1078" t="str">
        <f t="shared" si="33"/>
        <v>Shared</v>
      </c>
      <c r="F1078" s="13" t="str">
        <f t="shared" si="32"/>
        <v>2024-06</v>
      </c>
    </row>
    <row r="1079" spans="1:6" x14ac:dyDescent="0.2">
      <c r="A1079" s="2">
        <v>45465</v>
      </c>
      <c r="B1079" s="1" t="s">
        <v>298</v>
      </c>
      <c r="C1079" s="1" t="s">
        <v>295</v>
      </c>
      <c r="D1079" s="4">
        <v>1100</v>
      </c>
      <c r="E1079" t="str">
        <f t="shared" si="33"/>
        <v>Direct</v>
      </c>
      <c r="F1079" s="13" t="str">
        <f t="shared" si="32"/>
        <v>2024-06</v>
      </c>
    </row>
    <row r="1080" spans="1:6" x14ac:dyDescent="0.2">
      <c r="A1080" s="2">
        <v>45465</v>
      </c>
      <c r="B1080" s="1" t="s">
        <v>298</v>
      </c>
      <c r="C1080" s="1" t="s">
        <v>297</v>
      </c>
      <c r="D1080" s="4">
        <v>1100</v>
      </c>
      <c r="E1080" t="str">
        <f t="shared" si="33"/>
        <v>Direct</v>
      </c>
      <c r="F1080" s="13" t="str">
        <f t="shared" si="32"/>
        <v>2024-06</v>
      </c>
    </row>
    <row r="1081" spans="1:6" x14ac:dyDescent="0.2">
      <c r="A1081" s="2">
        <v>45465</v>
      </c>
      <c r="B1081" s="1" t="s">
        <v>9</v>
      </c>
      <c r="C1081" s="1" t="s">
        <v>297</v>
      </c>
      <c r="D1081" s="4">
        <v>450</v>
      </c>
      <c r="E1081" t="str">
        <f t="shared" si="33"/>
        <v>Direct</v>
      </c>
      <c r="F1081" s="13" t="str">
        <f t="shared" si="32"/>
        <v>2024-06</v>
      </c>
    </row>
    <row r="1082" spans="1:6" x14ac:dyDescent="0.2">
      <c r="A1082" s="2">
        <v>45465</v>
      </c>
      <c r="B1082" s="1" t="s">
        <v>9</v>
      </c>
      <c r="C1082" s="1" t="s">
        <v>295</v>
      </c>
      <c r="D1082" s="4">
        <v>200</v>
      </c>
      <c r="E1082" t="str">
        <f t="shared" si="33"/>
        <v>Direct</v>
      </c>
      <c r="F1082" s="13" t="str">
        <f t="shared" si="32"/>
        <v>2024-06</v>
      </c>
    </row>
    <row r="1083" spans="1:6" x14ac:dyDescent="0.2">
      <c r="A1083" s="2">
        <v>45469</v>
      </c>
      <c r="B1083" s="1" t="s">
        <v>298</v>
      </c>
      <c r="C1083" s="1" t="s">
        <v>295</v>
      </c>
      <c r="D1083" s="4">
        <v>1100</v>
      </c>
      <c r="E1083" t="str">
        <f t="shared" si="33"/>
        <v>Direct</v>
      </c>
      <c r="F1083" s="13" t="str">
        <f t="shared" si="32"/>
        <v>2024-06</v>
      </c>
    </row>
    <row r="1084" spans="1:6" x14ac:dyDescent="0.2">
      <c r="A1084" s="2">
        <v>45469</v>
      </c>
      <c r="B1084" s="1" t="s">
        <v>554</v>
      </c>
      <c r="C1084" s="1" t="s">
        <v>297</v>
      </c>
      <c r="D1084" s="4">
        <v>2150</v>
      </c>
      <c r="E1084" t="str">
        <f t="shared" si="33"/>
        <v>Direct</v>
      </c>
      <c r="F1084" s="13" t="str">
        <f t="shared" si="32"/>
        <v>2024-06</v>
      </c>
    </row>
    <row r="1085" spans="1:6" x14ac:dyDescent="0.2">
      <c r="A1085" s="2">
        <v>45469</v>
      </c>
      <c r="B1085" s="1" t="s">
        <v>9</v>
      </c>
      <c r="C1085" s="1" t="s">
        <v>297</v>
      </c>
      <c r="D1085" s="4">
        <v>460</v>
      </c>
      <c r="E1085" t="str">
        <f t="shared" si="33"/>
        <v>Direct</v>
      </c>
      <c r="F1085" s="13" t="str">
        <f t="shared" si="32"/>
        <v>2024-06</v>
      </c>
    </row>
    <row r="1086" spans="1:6" x14ac:dyDescent="0.2">
      <c r="A1086" s="2">
        <v>45469</v>
      </c>
      <c r="B1086" s="1" t="s">
        <v>9</v>
      </c>
      <c r="C1086" s="1" t="s">
        <v>295</v>
      </c>
      <c r="D1086" s="4">
        <v>230</v>
      </c>
      <c r="E1086" t="str">
        <f t="shared" si="33"/>
        <v>Direct</v>
      </c>
      <c r="F1086" s="13" t="str">
        <f t="shared" si="32"/>
        <v>2024-06</v>
      </c>
    </row>
    <row r="1087" spans="1:6" x14ac:dyDescent="0.2">
      <c r="A1087" s="2">
        <v>45476</v>
      </c>
      <c r="B1087" s="1" t="s">
        <v>1060</v>
      </c>
      <c r="C1087" s="1" t="s">
        <v>994</v>
      </c>
      <c r="D1087" s="4">
        <v>1900</v>
      </c>
      <c r="E1087" t="str">
        <f t="shared" si="33"/>
        <v>Shared</v>
      </c>
      <c r="F1087" s="13" t="str">
        <f t="shared" si="32"/>
        <v>2024-07</v>
      </c>
    </row>
    <row r="1088" spans="1:6" x14ac:dyDescent="0.2">
      <c r="A1088" s="2">
        <v>45480</v>
      </c>
      <c r="B1088" s="1" t="s">
        <v>985</v>
      </c>
      <c r="C1088" s="1" t="s">
        <v>295</v>
      </c>
      <c r="D1088" s="4">
        <v>23334</v>
      </c>
      <c r="E1088" t="str">
        <f t="shared" si="33"/>
        <v>Direct</v>
      </c>
      <c r="F1088" s="13" t="str">
        <f t="shared" si="32"/>
        <v>2024-07</v>
      </c>
    </row>
    <row r="1089" spans="1:6" x14ac:dyDescent="0.2">
      <c r="A1089" s="2">
        <v>45480</v>
      </c>
      <c r="B1089" s="1" t="s">
        <v>985</v>
      </c>
      <c r="C1089" s="1" t="s">
        <v>296</v>
      </c>
      <c r="D1089" s="4">
        <v>11923.8</v>
      </c>
      <c r="E1089" t="str">
        <f t="shared" si="33"/>
        <v>Direct</v>
      </c>
      <c r="F1089" s="13" t="str">
        <f t="shared" si="32"/>
        <v>2024-07</v>
      </c>
    </row>
    <row r="1090" spans="1:6" x14ac:dyDescent="0.2">
      <c r="A1090" s="2">
        <v>45480</v>
      </c>
      <c r="B1090" s="1" t="s">
        <v>985</v>
      </c>
      <c r="C1090" s="1" t="s">
        <v>297</v>
      </c>
      <c r="D1090" s="4">
        <v>23334</v>
      </c>
      <c r="E1090" t="str">
        <f t="shared" si="33"/>
        <v>Direct</v>
      </c>
      <c r="F1090" s="13" t="str">
        <f t="shared" ref="F1090:F1153" si="34">YEAR(A1090)&amp;"-"&amp;TEXT(MONTH(A1090),"00")</f>
        <v>2024-07</v>
      </c>
    </row>
    <row r="1091" spans="1:6" x14ac:dyDescent="0.2">
      <c r="A1091" s="2">
        <v>45481</v>
      </c>
      <c r="B1091" s="1" t="s">
        <v>1061</v>
      </c>
      <c r="C1091" s="1" t="s">
        <v>994</v>
      </c>
      <c r="D1091" s="4">
        <v>400</v>
      </c>
      <c r="E1091" t="str">
        <f t="shared" ref="E1091:E1154" si="35">IF(OR(C1091="A302", C1091="B303", C1091="C301"), "Direct", "Shared")</f>
        <v>Shared</v>
      </c>
      <c r="F1091" s="13" t="str">
        <f t="shared" si="34"/>
        <v>2024-07</v>
      </c>
    </row>
    <row r="1092" spans="1:6" x14ac:dyDescent="0.2">
      <c r="A1092" s="2">
        <v>45482</v>
      </c>
      <c r="B1092" s="1" t="s">
        <v>555</v>
      </c>
      <c r="C1092" s="1" t="s">
        <v>295</v>
      </c>
      <c r="D1092" s="4">
        <v>400</v>
      </c>
      <c r="E1092" t="str">
        <f t="shared" si="35"/>
        <v>Direct</v>
      </c>
      <c r="F1092" s="13" t="str">
        <f t="shared" si="34"/>
        <v>2024-07</v>
      </c>
    </row>
    <row r="1093" spans="1:6" x14ac:dyDescent="0.2">
      <c r="A1093" s="2">
        <v>45490</v>
      </c>
      <c r="B1093" s="1" t="s">
        <v>1062</v>
      </c>
      <c r="C1093" s="1" t="s">
        <v>296</v>
      </c>
      <c r="D1093" s="4">
        <v>1600</v>
      </c>
      <c r="E1093" t="str">
        <f t="shared" si="35"/>
        <v>Direct</v>
      </c>
      <c r="F1093" s="13" t="str">
        <f t="shared" si="34"/>
        <v>2024-07</v>
      </c>
    </row>
    <row r="1094" spans="1:6" x14ac:dyDescent="0.2">
      <c r="A1094" s="2">
        <v>45490</v>
      </c>
      <c r="B1094" s="1" t="s">
        <v>298</v>
      </c>
      <c r="C1094" s="1" t="s">
        <v>295</v>
      </c>
      <c r="D1094" s="4">
        <v>1100</v>
      </c>
      <c r="E1094" t="str">
        <f t="shared" si="35"/>
        <v>Direct</v>
      </c>
      <c r="F1094" s="13" t="str">
        <f t="shared" si="34"/>
        <v>2024-07</v>
      </c>
    </row>
    <row r="1095" spans="1:6" x14ac:dyDescent="0.2">
      <c r="A1095" s="2">
        <v>45490</v>
      </c>
      <c r="B1095" s="1" t="s">
        <v>373</v>
      </c>
      <c r="C1095" s="1" t="s">
        <v>296</v>
      </c>
      <c r="D1095" s="4">
        <v>400</v>
      </c>
      <c r="E1095" t="str">
        <f t="shared" si="35"/>
        <v>Direct</v>
      </c>
      <c r="F1095" s="13" t="str">
        <f t="shared" si="34"/>
        <v>2024-07</v>
      </c>
    </row>
    <row r="1096" spans="1:6" x14ac:dyDescent="0.2">
      <c r="A1096" s="2">
        <v>45490</v>
      </c>
      <c r="B1096" s="1" t="s">
        <v>556</v>
      </c>
      <c r="C1096" s="1" t="s">
        <v>297</v>
      </c>
      <c r="D1096" s="4">
        <v>600</v>
      </c>
      <c r="E1096" t="str">
        <f t="shared" si="35"/>
        <v>Direct</v>
      </c>
      <c r="F1096" s="13" t="str">
        <f t="shared" si="34"/>
        <v>2024-07</v>
      </c>
    </row>
    <row r="1097" spans="1:6" x14ac:dyDescent="0.2">
      <c r="A1097" s="2">
        <v>45490</v>
      </c>
      <c r="B1097" s="1" t="s">
        <v>557</v>
      </c>
      <c r="C1097" s="1" t="s">
        <v>295</v>
      </c>
      <c r="D1097" s="4">
        <v>1200</v>
      </c>
      <c r="E1097" t="str">
        <f t="shared" si="35"/>
        <v>Direct</v>
      </c>
      <c r="F1097" s="13" t="str">
        <f t="shared" si="34"/>
        <v>2024-07</v>
      </c>
    </row>
    <row r="1098" spans="1:6" x14ac:dyDescent="0.2">
      <c r="A1098" s="2">
        <v>45493</v>
      </c>
      <c r="B1098" s="1" t="s">
        <v>558</v>
      </c>
      <c r="C1098" s="1" t="s">
        <v>297</v>
      </c>
      <c r="D1098" s="4">
        <v>250</v>
      </c>
      <c r="E1098" t="str">
        <f t="shared" si="35"/>
        <v>Direct</v>
      </c>
      <c r="F1098" s="13" t="str">
        <f t="shared" si="34"/>
        <v>2024-07</v>
      </c>
    </row>
    <row r="1099" spans="1:6" x14ac:dyDescent="0.2">
      <c r="A1099" s="2">
        <v>45493</v>
      </c>
      <c r="B1099" s="1" t="s">
        <v>560</v>
      </c>
      <c r="C1099" s="1" t="s">
        <v>297</v>
      </c>
      <c r="D1099" s="4">
        <v>900</v>
      </c>
      <c r="E1099" t="str">
        <f t="shared" si="35"/>
        <v>Direct</v>
      </c>
      <c r="F1099" s="13" t="str">
        <f t="shared" si="34"/>
        <v>2024-07</v>
      </c>
    </row>
    <row r="1100" spans="1:6" x14ac:dyDescent="0.2">
      <c r="A1100" s="2">
        <v>45494</v>
      </c>
      <c r="B1100" s="1" t="s">
        <v>559</v>
      </c>
      <c r="C1100" s="1" t="s">
        <v>297</v>
      </c>
      <c r="D1100" s="4">
        <v>700</v>
      </c>
      <c r="E1100" t="str">
        <f t="shared" si="35"/>
        <v>Direct</v>
      </c>
      <c r="F1100" s="13" t="str">
        <f t="shared" si="34"/>
        <v>2024-07</v>
      </c>
    </row>
    <row r="1101" spans="1:6" x14ac:dyDescent="0.2">
      <c r="A1101" s="2">
        <v>45495</v>
      </c>
      <c r="B1101" s="1" t="s">
        <v>298</v>
      </c>
      <c r="C1101" s="1" t="s">
        <v>296</v>
      </c>
      <c r="D1101" s="4">
        <v>1100</v>
      </c>
      <c r="E1101" t="str">
        <f t="shared" si="35"/>
        <v>Direct</v>
      </c>
      <c r="F1101" s="13" t="str">
        <f t="shared" si="34"/>
        <v>2024-07</v>
      </c>
    </row>
    <row r="1102" spans="1:6" x14ac:dyDescent="0.2">
      <c r="A1102" s="2">
        <v>45495</v>
      </c>
      <c r="B1102" s="1" t="s">
        <v>9</v>
      </c>
      <c r="C1102" s="1" t="s">
        <v>296</v>
      </c>
      <c r="D1102" s="4">
        <v>230</v>
      </c>
      <c r="E1102" t="str">
        <f t="shared" si="35"/>
        <v>Direct</v>
      </c>
      <c r="F1102" s="13" t="str">
        <f t="shared" si="34"/>
        <v>2024-07</v>
      </c>
    </row>
    <row r="1103" spans="1:6" x14ac:dyDescent="0.2">
      <c r="A1103" s="2">
        <v>45495</v>
      </c>
      <c r="B1103" s="1" t="s">
        <v>561</v>
      </c>
      <c r="C1103" s="1" t="s">
        <v>297</v>
      </c>
      <c r="D1103" s="4">
        <v>300</v>
      </c>
      <c r="E1103" t="str">
        <f t="shared" si="35"/>
        <v>Direct</v>
      </c>
      <c r="F1103" s="13" t="str">
        <f t="shared" si="34"/>
        <v>2024-07</v>
      </c>
    </row>
    <row r="1104" spans="1:6" x14ac:dyDescent="0.2">
      <c r="A1104" s="2">
        <v>45496</v>
      </c>
      <c r="B1104" s="1" t="s">
        <v>237</v>
      </c>
      <c r="C1104" s="1" t="s">
        <v>295</v>
      </c>
      <c r="D1104" s="4">
        <v>1100</v>
      </c>
      <c r="E1104" t="str">
        <f t="shared" si="35"/>
        <v>Direct</v>
      </c>
      <c r="F1104" s="13" t="str">
        <f t="shared" si="34"/>
        <v>2024-07</v>
      </c>
    </row>
    <row r="1105" spans="1:6" x14ac:dyDescent="0.2">
      <c r="A1105" s="2">
        <v>45496</v>
      </c>
      <c r="B1105" s="1" t="s">
        <v>314</v>
      </c>
      <c r="C1105" s="1" t="s">
        <v>297</v>
      </c>
      <c r="D1105" s="4">
        <v>2000</v>
      </c>
      <c r="E1105" t="str">
        <f t="shared" si="35"/>
        <v>Direct</v>
      </c>
      <c r="F1105" s="13" t="str">
        <f t="shared" si="34"/>
        <v>2024-07</v>
      </c>
    </row>
    <row r="1106" spans="1:6" x14ac:dyDescent="0.2">
      <c r="A1106" s="2">
        <v>45496</v>
      </c>
      <c r="B1106" s="1" t="s">
        <v>9</v>
      </c>
      <c r="C1106" s="1" t="s">
        <v>295</v>
      </c>
      <c r="D1106" s="4">
        <v>250</v>
      </c>
      <c r="E1106" t="str">
        <f t="shared" si="35"/>
        <v>Direct</v>
      </c>
      <c r="F1106" s="13" t="str">
        <f t="shared" si="34"/>
        <v>2024-07</v>
      </c>
    </row>
    <row r="1107" spans="1:6" x14ac:dyDescent="0.2">
      <c r="A1107" s="2">
        <v>45496</v>
      </c>
      <c r="B1107" s="1" t="s">
        <v>315</v>
      </c>
      <c r="C1107" s="1" t="s">
        <v>297</v>
      </c>
      <c r="D1107" s="4">
        <v>360</v>
      </c>
      <c r="E1107" t="str">
        <f t="shared" si="35"/>
        <v>Direct</v>
      </c>
      <c r="F1107" s="13" t="str">
        <f t="shared" si="34"/>
        <v>2024-07</v>
      </c>
    </row>
    <row r="1108" spans="1:6" x14ac:dyDescent="0.2">
      <c r="A1108" s="2">
        <v>45503</v>
      </c>
      <c r="B1108" s="1" t="s">
        <v>1063</v>
      </c>
      <c r="C1108" s="1" t="s">
        <v>994</v>
      </c>
      <c r="D1108" s="4">
        <v>300</v>
      </c>
      <c r="E1108" t="str">
        <f t="shared" si="35"/>
        <v>Shared</v>
      </c>
      <c r="F1108" s="13" t="str">
        <f t="shared" si="34"/>
        <v>2024-07</v>
      </c>
    </row>
    <row r="1109" spans="1:6" x14ac:dyDescent="0.2">
      <c r="A1109" s="2">
        <v>45505</v>
      </c>
      <c r="B1109" s="1" t="s">
        <v>562</v>
      </c>
      <c r="C1109" s="1" t="s">
        <v>295</v>
      </c>
      <c r="D1109" s="4">
        <v>200</v>
      </c>
      <c r="E1109" t="str">
        <f t="shared" si="35"/>
        <v>Direct</v>
      </c>
      <c r="F1109" s="13" t="str">
        <f t="shared" si="34"/>
        <v>2024-08</v>
      </c>
    </row>
    <row r="1110" spans="1:6" x14ac:dyDescent="0.2">
      <c r="A1110" s="2">
        <v>45508</v>
      </c>
      <c r="B1110" s="1" t="s">
        <v>298</v>
      </c>
      <c r="C1110" s="1" t="s">
        <v>296</v>
      </c>
      <c r="D1110" s="4">
        <v>1100</v>
      </c>
      <c r="E1110" t="str">
        <f t="shared" si="35"/>
        <v>Direct</v>
      </c>
      <c r="F1110" s="13" t="str">
        <f t="shared" si="34"/>
        <v>2024-08</v>
      </c>
    </row>
    <row r="1111" spans="1:6" x14ac:dyDescent="0.2">
      <c r="A1111" s="2">
        <v>45508</v>
      </c>
      <c r="B1111" s="1" t="s">
        <v>9</v>
      </c>
      <c r="C1111" s="1" t="s">
        <v>296</v>
      </c>
      <c r="D1111" s="4">
        <v>310</v>
      </c>
      <c r="E1111" t="str">
        <f t="shared" si="35"/>
        <v>Direct</v>
      </c>
      <c r="F1111" s="13" t="str">
        <f t="shared" si="34"/>
        <v>2024-08</v>
      </c>
    </row>
    <row r="1112" spans="1:6" x14ac:dyDescent="0.2">
      <c r="A1112" s="2">
        <v>45508</v>
      </c>
      <c r="B1112" s="1" t="s">
        <v>9</v>
      </c>
      <c r="C1112" s="1" t="s">
        <v>296</v>
      </c>
      <c r="D1112" s="4">
        <v>280</v>
      </c>
      <c r="E1112" t="str">
        <f t="shared" si="35"/>
        <v>Direct</v>
      </c>
      <c r="F1112" s="13" t="str">
        <f t="shared" si="34"/>
        <v>2024-08</v>
      </c>
    </row>
    <row r="1113" spans="1:6" x14ac:dyDescent="0.2">
      <c r="A1113" s="2">
        <v>45509</v>
      </c>
      <c r="B1113" s="1" t="s">
        <v>314</v>
      </c>
      <c r="C1113" s="1" t="s">
        <v>297</v>
      </c>
      <c r="D1113" s="4">
        <v>2000</v>
      </c>
      <c r="E1113" t="str">
        <f t="shared" si="35"/>
        <v>Direct</v>
      </c>
      <c r="F1113" s="13" t="str">
        <f t="shared" si="34"/>
        <v>2024-08</v>
      </c>
    </row>
    <row r="1114" spans="1:6" x14ac:dyDescent="0.2">
      <c r="A1114" s="2">
        <v>45509</v>
      </c>
      <c r="B1114" s="1" t="s">
        <v>363</v>
      </c>
      <c r="C1114" s="1" t="s">
        <v>297</v>
      </c>
      <c r="D1114" s="4">
        <v>800</v>
      </c>
      <c r="E1114" t="str">
        <f t="shared" si="35"/>
        <v>Direct</v>
      </c>
      <c r="F1114" s="13" t="str">
        <f t="shared" si="34"/>
        <v>2024-08</v>
      </c>
    </row>
    <row r="1115" spans="1:6" x14ac:dyDescent="0.2">
      <c r="A1115" s="2">
        <v>45509</v>
      </c>
      <c r="B1115" s="1" t="s">
        <v>315</v>
      </c>
      <c r="C1115" s="1" t="s">
        <v>297</v>
      </c>
      <c r="D1115" s="4">
        <v>300</v>
      </c>
      <c r="E1115" t="str">
        <f t="shared" si="35"/>
        <v>Direct</v>
      </c>
      <c r="F1115" s="13" t="str">
        <f t="shared" si="34"/>
        <v>2024-08</v>
      </c>
    </row>
    <row r="1116" spans="1:6" x14ac:dyDescent="0.2">
      <c r="A1116" s="2">
        <v>45509</v>
      </c>
      <c r="B1116" s="1" t="s">
        <v>366</v>
      </c>
      <c r="C1116" s="1" t="s">
        <v>297</v>
      </c>
      <c r="D1116" s="4">
        <v>230</v>
      </c>
      <c r="E1116" t="str">
        <f t="shared" si="35"/>
        <v>Direct</v>
      </c>
      <c r="F1116" s="13" t="str">
        <f t="shared" si="34"/>
        <v>2024-08</v>
      </c>
    </row>
    <row r="1117" spans="1:6" x14ac:dyDescent="0.2">
      <c r="A1117" s="2">
        <v>45509</v>
      </c>
      <c r="B1117" s="1" t="s">
        <v>183</v>
      </c>
      <c r="C1117" s="1" t="s">
        <v>994</v>
      </c>
      <c r="D1117" s="4">
        <v>3000</v>
      </c>
      <c r="E1117" t="str">
        <f t="shared" si="35"/>
        <v>Shared</v>
      </c>
      <c r="F1117" s="13" t="str">
        <f t="shared" si="34"/>
        <v>2024-08</v>
      </c>
    </row>
    <row r="1118" spans="1:6" x14ac:dyDescent="0.2">
      <c r="A1118" s="2">
        <v>45509</v>
      </c>
      <c r="B1118" s="1" t="s">
        <v>366</v>
      </c>
      <c r="C1118" s="1" t="s">
        <v>297</v>
      </c>
      <c r="D1118" s="4">
        <v>200</v>
      </c>
      <c r="E1118" t="str">
        <f t="shared" si="35"/>
        <v>Direct</v>
      </c>
      <c r="F1118" s="13" t="str">
        <f t="shared" si="34"/>
        <v>2024-08</v>
      </c>
    </row>
    <row r="1119" spans="1:6" x14ac:dyDescent="0.2">
      <c r="A1119" s="2">
        <v>45511</v>
      </c>
      <c r="B1119" s="1" t="s">
        <v>985</v>
      </c>
      <c r="C1119" s="1" t="s">
        <v>295</v>
      </c>
      <c r="D1119" s="4">
        <v>22112</v>
      </c>
      <c r="E1119" t="str">
        <f t="shared" si="35"/>
        <v>Direct</v>
      </c>
      <c r="F1119" s="13" t="str">
        <f t="shared" si="34"/>
        <v>2024-08</v>
      </c>
    </row>
    <row r="1120" spans="1:6" x14ac:dyDescent="0.2">
      <c r="A1120" s="2">
        <v>45511</v>
      </c>
      <c r="B1120" s="1" t="s">
        <v>985</v>
      </c>
      <c r="C1120" s="1" t="s">
        <v>296</v>
      </c>
      <c r="D1120" s="4">
        <v>11298.56</v>
      </c>
      <c r="E1120" t="str">
        <f t="shared" si="35"/>
        <v>Direct</v>
      </c>
      <c r="F1120" s="13" t="str">
        <f t="shared" si="34"/>
        <v>2024-08</v>
      </c>
    </row>
    <row r="1121" spans="1:6" x14ac:dyDescent="0.2">
      <c r="A1121" s="2">
        <v>45511</v>
      </c>
      <c r="B1121" s="1" t="s">
        <v>985</v>
      </c>
      <c r="C1121" s="1" t="s">
        <v>297</v>
      </c>
      <c r="D1121" s="4">
        <v>22112</v>
      </c>
      <c r="E1121" t="str">
        <f t="shared" si="35"/>
        <v>Direct</v>
      </c>
      <c r="F1121" s="13" t="str">
        <f t="shared" si="34"/>
        <v>2024-08</v>
      </c>
    </row>
    <row r="1122" spans="1:6" x14ac:dyDescent="0.2">
      <c r="A1122" s="2">
        <v>45513</v>
      </c>
      <c r="B1122" s="1" t="s">
        <v>384</v>
      </c>
      <c r="C1122" s="1" t="s">
        <v>297</v>
      </c>
      <c r="D1122" s="4">
        <v>1100</v>
      </c>
      <c r="E1122" t="str">
        <f t="shared" si="35"/>
        <v>Direct</v>
      </c>
      <c r="F1122" s="13" t="str">
        <f t="shared" si="34"/>
        <v>2024-08</v>
      </c>
    </row>
    <row r="1123" spans="1:6" x14ac:dyDescent="0.2">
      <c r="A1123" s="2">
        <v>45513</v>
      </c>
      <c r="B1123" s="1" t="s">
        <v>563</v>
      </c>
      <c r="C1123" s="1" t="s">
        <v>297</v>
      </c>
      <c r="D1123" s="4">
        <v>280</v>
      </c>
      <c r="E1123" t="str">
        <f t="shared" si="35"/>
        <v>Direct</v>
      </c>
      <c r="F1123" s="13" t="str">
        <f t="shared" si="34"/>
        <v>2024-08</v>
      </c>
    </row>
    <row r="1124" spans="1:6" x14ac:dyDescent="0.2">
      <c r="A1124" s="2">
        <v>45513</v>
      </c>
      <c r="B1124" s="1" t="s">
        <v>564</v>
      </c>
      <c r="C1124" s="1" t="s">
        <v>295</v>
      </c>
      <c r="D1124" s="4">
        <v>1500</v>
      </c>
      <c r="E1124" t="str">
        <f t="shared" si="35"/>
        <v>Direct</v>
      </c>
      <c r="F1124" s="13" t="str">
        <f t="shared" si="34"/>
        <v>2024-08</v>
      </c>
    </row>
    <row r="1125" spans="1:6" x14ac:dyDescent="0.2">
      <c r="A1125" s="2">
        <v>45516</v>
      </c>
      <c r="B1125" s="1" t="s">
        <v>565</v>
      </c>
      <c r="C1125" s="1" t="s">
        <v>296</v>
      </c>
      <c r="D1125" s="4">
        <v>1400</v>
      </c>
      <c r="E1125" t="str">
        <f t="shared" si="35"/>
        <v>Direct</v>
      </c>
      <c r="F1125" s="13" t="str">
        <f t="shared" si="34"/>
        <v>2024-08</v>
      </c>
    </row>
    <row r="1126" spans="1:6" x14ac:dyDescent="0.2">
      <c r="A1126" s="2">
        <v>45516</v>
      </c>
      <c r="B1126" s="1" t="s">
        <v>298</v>
      </c>
      <c r="C1126" s="1" t="s">
        <v>296</v>
      </c>
      <c r="D1126" s="4">
        <v>1100</v>
      </c>
      <c r="E1126" t="str">
        <f t="shared" si="35"/>
        <v>Direct</v>
      </c>
      <c r="F1126" s="13" t="str">
        <f t="shared" si="34"/>
        <v>2024-08</v>
      </c>
    </row>
    <row r="1127" spans="1:6" x14ac:dyDescent="0.2">
      <c r="A1127" s="2">
        <v>45519</v>
      </c>
      <c r="B1127" s="1" t="s">
        <v>363</v>
      </c>
      <c r="C1127" s="1" t="s">
        <v>297</v>
      </c>
      <c r="D1127" s="4">
        <v>800</v>
      </c>
      <c r="E1127" t="str">
        <f t="shared" si="35"/>
        <v>Direct</v>
      </c>
      <c r="F1127" s="13" t="str">
        <f t="shared" si="34"/>
        <v>2024-08</v>
      </c>
    </row>
    <row r="1128" spans="1:6" x14ac:dyDescent="0.2">
      <c r="A1128" s="2">
        <v>45521</v>
      </c>
      <c r="B1128" s="1" t="s">
        <v>486</v>
      </c>
      <c r="C1128" s="1" t="s">
        <v>295</v>
      </c>
      <c r="D1128" s="4">
        <v>900</v>
      </c>
      <c r="E1128" t="str">
        <f t="shared" si="35"/>
        <v>Direct</v>
      </c>
      <c r="F1128" s="13" t="str">
        <f t="shared" si="34"/>
        <v>2024-08</v>
      </c>
    </row>
    <row r="1129" spans="1:6" x14ac:dyDescent="0.2">
      <c r="A1129" s="2">
        <v>45524</v>
      </c>
      <c r="B1129" s="1" t="s">
        <v>238</v>
      </c>
      <c r="C1129" s="1" t="s">
        <v>994</v>
      </c>
      <c r="D1129" s="4">
        <v>200</v>
      </c>
      <c r="E1129" t="str">
        <f t="shared" si="35"/>
        <v>Shared</v>
      </c>
      <c r="F1129" s="13" t="str">
        <f t="shared" si="34"/>
        <v>2024-08</v>
      </c>
    </row>
    <row r="1130" spans="1:6" x14ac:dyDescent="0.2">
      <c r="A1130" s="2">
        <v>45524</v>
      </c>
      <c r="B1130" s="1" t="s">
        <v>363</v>
      </c>
      <c r="C1130" s="1" t="s">
        <v>297</v>
      </c>
      <c r="D1130" s="4">
        <v>800</v>
      </c>
      <c r="E1130" t="str">
        <f t="shared" si="35"/>
        <v>Direct</v>
      </c>
      <c r="F1130" s="13" t="str">
        <f t="shared" si="34"/>
        <v>2024-08</v>
      </c>
    </row>
    <row r="1131" spans="1:6" x14ac:dyDescent="0.2">
      <c r="A1131" s="2">
        <v>45524</v>
      </c>
      <c r="B1131" s="1" t="s">
        <v>366</v>
      </c>
      <c r="C1131" s="1" t="s">
        <v>297</v>
      </c>
      <c r="D1131" s="4">
        <v>240</v>
      </c>
      <c r="E1131" t="str">
        <f t="shared" si="35"/>
        <v>Direct</v>
      </c>
      <c r="F1131" s="13" t="str">
        <f t="shared" si="34"/>
        <v>2024-08</v>
      </c>
    </row>
    <row r="1132" spans="1:6" x14ac:dyDescent="0.2">
      <c r="A1132" s="2">
        <v>45526</v>
      </c>
      <c r="B1132" s="1" t="s">
        <v>222</v>
      </c>
      <c r="C1132" s="1" t="s">
        <v>994</v>
      </c>
      <c r="D1132" s="4">
        <v>260</v>
      </c>
      <c r="E1132" t="str">
        <f t="shared" si="35"/>
        <v>Shared</v>
      </c>
      <c r="F1132" s="13" t="str">
        <f t="shared" si="34"/>
        <v>2024-08</v>
      </c>
    </row>
    <row r="1133" spans="1:6" x14ac:dyDescent="0.2">
      <c r="A1133" s="2">
        <v>45527</v>
      </c>
      <c r="B1133" s="1" t="s">
        <v>566</v>
      </c>
      <c r="C1133" s="1" t="s">
        <v>296</v>
      </c>
      <c r="D1133" s="4">
        <v>400</v>
      </c>
      <c r="E1133" t="str">
        <f t="shared" si="35"/>
        <v>Direct</v>
      </c>
      <c r="F1133" s="13" t="str">
        <f t="shared" si="34"/>
        <v>2024-08</v>
      </c>
    </row>
    <row r="1134" spans="1:6" x14ac:dyDescent="0.2">
      <c r="A1134" s="2">
        <v>45529</v>
      </c>
      <c r="B1134" s="1" t="s">
        <v>1064</v>
      </c>
      <c r="C1134" s="1" t="s">
        <v>296</v>
      </c>
      <c r="D1134" s="4">
        <v>1600</v>
      </c>
      <c r="E1134" t="str">
        <f t="shared" si="35"/>
        <v>Direct</v>
      </c>
      <c r="F1134" s="13" t="str">
        <f t="shared" si="34"/>
        <v>2024-08</v>
      </c>
    </row>
    <row r="1135" spans="1:6" x14ac:dyDescent="0.2">
      <c r="A1135" s="2">
        <v>45530</v>
      </c>
      <c r="B1135" s="1" t="s">
        <v>314</v>
      </c>
      <c r="C1135" s="1" t="s">
        <v>295</v>
      </c>
      <c r="D1135" s="4">
        <v>2000</v>
      </c>
      <c r="E1135" t="str">
        <f t="shared" si="35"/>
        <v>Direct</v>
      </c>
      <c r="F1135" s="13" t="str">
        <f t="shared" si="34"/>
        <v>2024-08</v>
      </c>
    </row>
    <row r="1136" spans="1:6" x14ac:dyDescent="0.2">
      <c r="A1136" s="2">
        <v>45530</v>
      </c>
      <c r="B1136" s="1" t="s">
        <v>315</v>
      </c>
      <c r="C1136" s="1" t="s">
        <v>295</v>
      </c>
      <c r="D1136" s="4">
        <v>330</v>
      </c>
      <c r="E1136" t="str">
        <f t="shared" si="35"/>
        <v>Direct</v>
      </c>
      <c r="F1136" s="13" t="str">
        <f t="shared" si="34"/>
        <v>2024-08</v>
      </c>
    </row>
    <row r="1137" spans="1:6" x14ac:dyDescent="0.2">
      <c r="A1137" s="2">
        <v>45531</v>
      </c>
      <c r="B1137" s="1" t="s">
        <v>239</v>
      </c>
      <c r="C1137" s="1" t="s">
        <v>994</v>
      </c>
      <c r="D1137" s="4">
        <v>620</v>
      </c>
      <c r="E1137" t="str">
        <f t="shared" si="35"/>
        <v>Shared</v>
      </c>
      <c r="F1137" s="13" t="str">
        <f t="shared" si="34"/>
        <v>2024-08</v>
      </c>
    </row>
    <row r="1138" spans="1:6" x14ac:dyDescent="0.2">
      <c r="A1138" s="2">
        <v>45532</v>
      </c>
      <c r="B1138" s="1" t="s">
        <v>240</v>
      </c>
      <c r="C1138" s="1" t="s">
        <v>296</v>
      </c>
      <c r="D1138" s="4">
        <v>700</v>
      </c>
      <c r="E1138" t="str">
        <f t="shared" si="35"/>
        <v>Direct</v>
      </c>
      <c r="F1138" s="13" t="str">
        <f t="shared" si="34"/>
        <v>2024-08</v>
      </c>
    </row>
    <row r="1139" spans="1:6" x14ac:dyDescent="0.2">
      <c r="A1139" s="2">
        <v>45532</v>
      </c>
      <c r="B1139" s="1" t="s">
        <v>241</v>
      </c>
      <c r="C1139" s="1" t="s">
        <v>994</v>
      </c>
      <c r="D1139" s="4">
        <v>2000</v>
      </c>
      <c r="E1139" t="str">
        <f t="shared" si="35"/>
        <v>Shared</v>
      </c>
      <c r="F1139" s="13" t="str">
        <f t="shared" si="34"/>
        <v>2024-08</v>
      </c>
    </row>
    <row r="1140" spans="1:6" x14ac:dyDescent="0.2">
      <c r="A1140" s="2">
        <v>45534</v>
      </c>
      <c r="B1140" s="1" t="s">
        <v>373</v>
      </c>
      <c r="C1140" s="1" t="s">
        <v>297</v>
      </c>
      <c r="D1140" s="4">
        <v>300</v>
      </c>
      <c r="E1140" t="str">
        <f t="shared" si="35"/>
        <v>Direct</v>
      </c>
      <c r="F1140" s="13" t="str">
        <f t="shared" si="34"/>
        <v>2024-08</v>
      </c>
    </row>
    <row r="1141" spans="1:6" x14ac:dyDescent="0.2">
      <c r="A1141" s="2">
        <v>45534</v>
      </c>
      <c r="B1141" s="1" t="s">
        <v>298</v>
      </c>
      <c r="C1141" s="1" t="s">
        <v>296</v>
      </c>
      <c r="D1141" s="4">
        <v>1100</v>
      </c>
      <c r="E1141" t="str">
        <f t="shared" si="35"/>
        <v>Direct</v>
      </c>
      <c r="F1141" s="13" t="str">
        <f t="shared" si="34"/>
        <v>2024-08</v>
      </c>
    </row>
    <row r="1142" spans="1:6" x14ac:dyDescent="0.2">
      <c r="A1142" s="2">
        <v>45534</v>
      </c>
      <c r="B1142" s="1" t="s">
        <v>9</v>
      </c>
      <c r="C1142" s="1" t="s">
        <v>296</v>
      </c>
      <c r="D1142" s="4">
        <v>270</v>
      </c>
      <c r="E1142" t="str">
        <f t="shared" si="35"/>
        <v>Direct</v>
      </c>
      <c r="F1142" s="13" t="str">
        <f t="shared" si="34"/>
        <v>2024-08</v>
      </c>
    </row>
    <row r="1143" spans="1:6" x14ac:dyDescent="0.2">
      <c r="A1143" s="2">
        <v>45534</v>
      </c>
      <c r="B1143" s="1" t="s">
        <v>1065</v>
      </c>
      <c r="C1143" s="1" t="s">
        <v>296</v>
      </c>
      <c r="D1143" s="4">
        <v>550</v>
      </c>
      <c r="E1143" t="str">
        <f t="shared" si="35"/>
        <v>Direct</v>
      </c>
      <c r="F1143" s="13" t="str">
        <f t="shared" si="34"/>
        <v>2024-08</v>
      </c>
    </row>
    <row r="1144" spans="1:6" x14ac:dyDescent="0.2">
      <c r="A1144" s="2">
        <v>45534</v>
      </c>
      <c r="B1144" s="1" t="s">
        <v>9</v>
      </c>
      <c r="C1144" s="1" t="s">
        <v>297</v>
      </c>
      <c r="D1144" s="4">
        <v>290</v>
      </c>
      <c r="E1144" t="str">
        <f t="shared" si="35"/>
        <v>Direct</v>
      </c>
      <c r="F1144" s="13" t="str">
        <f t="shared" si="34"/>
        <v>2024-08</v>
      </c>
    </row>
    <row r="1145" spans="1:6" x14ac:dyDescent="0.2">
      <c r="A1145" s="2">
        <v>45537</v>
      </c>
      <c r="B1145" s="1" t="s">
        <v>452</v>
      </c>
      <c r="C1145" s="1" t="s">
        <v>296</v>
      </c>
      <c r="D1145" s="4">
        <v>1100</v>
      </c>
      <c r="E1145" t="str">
        <f t="shared" si="35"/>
        <v>Direct</v>
      </c>
      <c r="F1145" s="13" t="str">
        <f t="shared" si="34"/>
        <v>2024-09</v>
      </c>
    </row>
    <row r="1146" spans="1:6" x14ac:dyDescent="0.2">
      <c r="A1146" s="2">
        <v>45537</v>
      </c>
      <c r="B1146" s="1" t="s">
        <v>314</v>
      </c>
      <c r="C1146" s="1" t="s">
        <v>295</v>
      </c>
      <c r="D1146" s="4">
        <v>2000</v>
      </c>
      <c r="E1146" t="str">
        <f t="shared" si="35"/>
        <v>Direct</v>
      </c>
      <c r="F1146" s="13" t="str">
        <f t="shared" si="34"/>
        <v>2024-09</v>
      </c>
    </row>
    <row r="1147" spans="1:6" x14ac:dyDescent="0.2">
      <c r="A1147" s="2">
        <v>45537</v>
      </c>
      <c r="B1147" s="1" t="s">
        <v>9</v>
      </c>
      <c r="C1147" s="1" t="s">
        <v>296</v>
      </c>
      <c r="D1147" s="4">
        <v>290</v>
      </c>
      <c r="E1147" t="str">
        <f t="shared" si="35"/>
        <v>Direct</v>
      </c>
      <c r="F1147" s="13" t="str">
        <f t="shared" si="34"/>
        <v>2024-09</v>
      </c>
    </row>
    <row r="1148" spans="1:6" x14ac:dyDescent="0.2">
      <c r="A1148" s="2">
        <v>45537</v>
      </c>
      <c r="B1148" s="1" t="s">
        <v>315</v>
      </c>
      <c r="C1148" s="1" t="s">
        <v>295</v>
      </c>
      <c r="D1148" s="4">
        <v>350</v>
      </c>
      <c r="E1148" t="str">
        <f t="shared" si="35"/>
        <v>Direct</v>
      </c>
      <c r="F1148" s="13" t="str">
        <f t="shared" si="34"/>
        <v>2024-09</v>
      </c>
    </row>
    <row r="1149" spans="1:6" x14ac:dyDescent="0.2">
      <c r="A1149" s="2">
        <v>45539</v>
      </c>
      <c r="B1149" s="1" t="s">
        <v>9</v>
      </c>
      <c r="C1149" s="1" t="s">
        <v>297</v>
      </c>
      <c r="D1149" s="4">
        <v>210</v>
      </c>
      <c r="E1149" t="str">
        <f t="shared" si="35"/>
        <v>Direct</v>
      </c>
      <c r="F1149" s="13" t="str">
        <f t="shared" si="34"/>
        <v>2024-09</v>
      </c>
    </row>
    <row r="1150" spans="1:6" x14ac:dyDescent="0.2">
      <c r="A1150" s="2">
        <v>45540</v>
      </c>
      <c r="B1150" s="1" t="s">
        <v>1066</v>
      </c>
      <c r="C1150" s="1" t="s">
        <v>295</v>
      </c>
      <c r="D1150" s="4">
        <v>700</v>
      </c>
      <c r="E1150" t="str">
        <f t="shared" si="35"/>
        <v>Direct</v>
      </c>
      <c r="F1150" s="13" t="str">
        <f t="shared" si="34"/>
        <v>2024-09</v>
      </c>
    </row>
    <row r="1151" spans="1:6" x14ac:dyDescent="0.2">
      <c r="A1151" s="2">
        <v>45542</v>
      </c>
      <c r="B1151" s="1" t="s">
        <v>985</v>
      </c>
      <c r="C1151" s="1" t="s">
        <v>295</v>
      </c>
      <c r="D1151" s="4">
        <v>23762</v>
      </c>
      <c r="E1151" t="str">
        <f t="shared" si="35"/>
        <v>Direct</v>
      </c>
      <c r="F1151" s="13" t="str">
        <f t="shared" si="34"/>
        <v>2024-09</v>
      </c>
    </row>
    <row r="1152" spans="1:6" x14ac:dyDescent="0.2">
      <c r="A1152" s="2">
        <v>45542</v>
      </c>
      <c r="B1152" s="1" t="s">
        <v>985</v>
      </c>
      <c r="C1152" s="1" t="s">
        <v>296</v>
      </c>
      <c r="D1152" s="4">
        <v>12895.05</v>
      </c>
      <c r="E1152" t="str">
        <f t="shared" si="35"/>
        <v>Direct</v>
      </c>
      <c r="F1152" s="13" t="str">
        <f t="shared" si="34"/>
        <v>2024-09</v>
      </c>
    </row>
    <row r="1153" spans="1:6" x14ac:dyDescent="0.2">
      <c r="A1153" s="2">
        <v>45542</v>
      </c>
      <c r="B1153" s="1" t="s">
        <v>985</v>
      </c>
      <c r="C1153" s="1" t="s">
        <v>297</v>
      </c>
      <c r="D1153" s="4">
        <v>23762</v>
      </c>
      <c r="E1153" t="str">
        <f t="shared" si="35"/>
        <v>Direct</v>
      </c>
      <c r="F1153" s="13" t="str">
        <f t="shared" si="34"/>
        <v>2024-09</v>
      </c>
    </row>
    <row r="1154" spans="1:6" x14ac:dyDescent="0.2">
      <c r="A1154" s="2">
        <v>45549</v>
      </c>
      <c r="B1154" s="1" t="s">
        <v>567</v>
      </c>
      <c r="C1154" s="1" t="s">
        <v>297</v>
      </c>
      <c r="D1154" s="4">
        <v>600</v>
      </c>
      <c r="E1154" t="str">
        <f t="shared" si="35"/>
        <v>Direct</v>
      </c>
      <c r="F1154" s="13" t="str">
        <f t="shared" ref="F1154:F1217" si="36">YEAR(A1154)&amp;"-"&amp;TEXT(MONTH(A1154),"00")</f>
        <v>2024-09</v>
      </c>
    </row>
    <row r="1155" spans="1:6" x14ac:dyDescent="0.2">
      <c r="A1155" s="2">
        <v>45551</v>
      </c>
      <c r="B1155" s="1" t="s">
        <v>314</v>
      </c>
      <c r="C1155" s="1" t="s">
        <v>295</v>
      </c>
      <c r="D1155" s="4">
        <v>2000</v>
      </c>
      <c r="E1155" t="str">
        <f t="shared" ref="E1155:E1218" si="37">IF(OR(C1155="A302", C1155="B303", C1155="C301"), "Direct", "Shared")</f>
        <v>Direct</v>
      </c>
      <c r="F1155" s="13" t="str">
        <f t="shared" si="36"/>
        <v>2024-09</v>
      </c>
    </row>
    <row r="1156" spans="1:6" x14ac:dyDescent="0.2">
      <c r="A1156" s="2">
        <v>45551</v>
      </c>
      <c r="B1156" s="1" t="s">
        <v>315</v>
      </c>
      <c r="C1156" s="1" t="s">
        <v>295</v>
      </c>
      <c r="D1156" s="4">
        <v>250</v>
      </c>
      <c r="E1156" t="str">
        <f t="shared" si="37"/>
        <v>Direct</v>
      </c>
      <c r="F1156" s="13" t="str">
        <f t="shared" si="36"/>
        <v>2024-09</v>
      </c>
    </row>
    <row r="1157" spans="1:6" x14ac:dyDescent="0.2">
      <c r="A1157" s="2">
        <v>45563</v>
      </c>
      <c r="B1157" s="1" t="s">
        <v>568</v>
      </c>
      <c r="C1157" s="1" t="s">
        <v>295</v>
      </c>
      <c r="D1157" s="4">
        <v>700</v>
      </c>
      <c r="E1157" t="str">
        <f t="shared" si="37"/>
        <v>Direct</v>
      </c>
      <c r="F1157" s="13" t="str">
        <f t="shared" si="36"/>
        <v>2024-09</v>
      </c>
    </row>
    <row r="1158" spans="1:6" x14ac:dyDescent="0.2">
      <c r="A1158" s="2">
        <v>45563</v>
      </c>
      <c r="B1158" s="1" t="s">
        <v>183</v>
      </c>
      <c r="C1158" s="1" t="s">
        <v>994</v>
      </c>
      <c r="D1158" s="4">
        <v>4000</v>
      </c>
      <c r="E1158" t="str">
        <f t="shared" si="37"/>
        <v>Shared</v>
      </c>
      <c r="F1158" s="13" t="str">
        <f t="shared" si="36"/>
        <v>2024-09</v>
      </c>
    </row>
    <row r="1159" spans="1:6" x14ac:dyDescent="0.2">
      <c r="A1159" s="2">
        <v>45566</v>
      </c>
      <c r="B1159" s="1" t="s">
        <v>569</v>
      </c>
      <c r="C1159" s="1" t="s">
        <v>297</v>
      </c>
      <c r="D1159" s="4">
        <v>1400</v>
      </c>
      <c r="E1159" t="str">
        <f t="shared" si="37"/>
        <v>Direct</v>
      </c>
      <c r="F1159" s="13" t="str">
        <f t="shared" si="36"/>
        <v>2024-10</v>
      </c>
    </row>
    <row r="1160" spans="1:6" x14ac:dyDescent="0.2">
      <c r="A1160" s="2">
        <v>45566</v>
      </c>
      <c r="B1160" s="1" t="s">
        <v>570</v>
      </c>
      <c r="C1160" s="1" t="s">
        <v>295</v>
      </c>
      <c r="D1160" s="4">
        <v>3500</v>
      </c>
      <c r="E1160" t="str">
        <f t="shared" si="37"/>
        <v>Direct</v>
      </c>
      <c r="F1160" s="13" t="str">
        <f t="shared" si="36"/>
        <v>2024-10</v>
      </c>
    </row>
    <row r="1161" spans="1:6" x14ac:dyDescent="0.2">
      <c r="A1161" s="2">
        <v>45566</v>
      </c>
      <c r="B1161" s="1" t="s">
        <v>1067</v>
      </c>
      <c r="C1161" s="1" t="s">
        <v>295</v>
      </c>
      <c r="D1161" s="4">
        <v>1200</v>
      </c>
      <c r="E1161" t="str">
        <f t="shared" si="37"/>
        <v>Direct</v>
      </c>
      <c r="F1161" s="13" t="str">
        <f t="shared" si="36"/>
        <v>2024-10</v>
      </c>
    </row>
    <row r="1162" spans="1:6" x14ac:dyDescent="0.2">
      <c r="A1162" s="2">
        <v>45566</v>
      </c>
      <c r="B1162" s="1" t="s">
        <v>1068</v>
      </c>
      <c r="C1162" s="1" t="s">
        <v>295</v>
      </c>
      <c r="D1162" s="4">
        <v>2300</v>
      </c>
      <c r="E1162" t="str">
        <f t="shared" si="37"/>
        <v>Direct</v>
      </c>
      <c r="F1162" s="13" t="str">
        <f t="shared" si="36"/>
        <v>2024-10</v>
      </c>
    </row>
    <row r="1163" spans="1:6" x14ac:dyDescent="0.2">
      <c r="A1163" s="2">
        <v>45567</v>
      </c>
      <c r="B1163" s="1" t="s">
        <v>571</v>
      </c>
      <c r="C1163" s="1" t="s">
        <v>295</v>
      </c>
      <c r="D1163" s="4">
        <v>1700</v>
      </c>
      <c r="E1163" t="str">
        <f t="shared" si="37"/>
        <v>Direct</v>
      </c>
      <c r="F1163" s="13" t="str">
        <f t="shared" si="36"/>
        <v>2024-10</v>
      </c>
    </row>
    <row r="1164" spans="1:6" x14ac:dyDescent="0.2">
      <c r="A1164" s="2">
        <v>45568</v>
      </c>
      <c r="B1164" s="1" t="s">
        <v>572</v>
      </c>
      <c r="C1164" s="1" t="s">
        <v>297</v>
      </c>
      <c r="D1164" s="4">
        <v>900</v>
      </c>
      <c r="E1164" t="str">
        <f t="shared" si="37"/>
        <v>Direct</v>
      </c>
      <c r="F1164" s="13" t="str">
        <f t="shared" si="36"/>
        <v>2024-10</v>
      </c>
    </row>
    <row r="1165" spans="1:6" x14ac:dyDescent="0.2">
      <c r="A1165" s="2">
        <v>45569</v>
      </c>
      <c r="B1165" s="1" t="s">
        <v>242</v>
      </c>
      <c r="C1165" s="1" t="s">
        <v>994</v>
      </c>
      <c r="D1165" s="4">
        <v>500</v>
      </c>
      <c r="E1165" t="str">
        <f t="shared" si="37"/>
        <v>Shared</v>
      </c>
      <c r="F1165" s="13" t="str">
        <f t="shared" si="36"/>
        <v>2024-10</v>
      </c>
    </row>
    <row r="1166" spans="1:6" x14ac:dyDescent="0.2">
      <c r="A1166" s="2">
        <v>45569</v>
      </c>
      <c r="B1166" s="1" t="s">
        <v>222</v>
      </c>
      <c r="C1166" s="1" t="s">
        <v>994</v>
      </c>
      <c r="D1166" s="4">
        <v>200</v>
      </c>
      <c r="E1166" t="str">
        <f t="shared" si="37"/>
        <v>Shared</v>
      </c>
      <c r="F1166" s="13" t="str">
        <f t="shared" si="36"/>
        <v>2024-10</v>
      </c>
    </row>
    <row r="1167" spans="1:6" x14ac:dyDescent="0.2">
      <c r="A1167" s="2">
        <v>45570</v>
      </c>
      <c r="B1167" s="1" t="s">
        <v>573</v>
      </c>
      <c r="C1167" s="1" t="s">
        <v>297</v>
      </c>
      <c r="D1167" s="4">
        <v>1000</v>
      </c>
      <c r="E1167" t="str">
        <f t="shared" si="37"/>
        <v>Direct</v>
      </c>
      <c r="F1167" s="13" t="str">
        <f t="shared" si="36"/>
        <v>2024-10</v>
      </c>
    </row>
    <row r="1168" spans="1:6" x14ac:dyDescent="0.2">
      <c r="A1168" s="2">
        <v>45570</v>
      </c>
      <c r="B1168" s="1" t="s">
        <v>574</v>
      </c>
      <c r="C1168" s="1" t="s">
        <v>297</v>
      </c>
      <c r="D1168" s="4">
        <v>2500</v>
      </c>
      <c r="E1168" t="str">
        <f t="shared" si="37"/>
        <v>Direct</v>
      </c>
      <c r="F1168" s="13" t="str">
        <f t="shared" si="36"/>
        <v>2024-10</v>
      </c>
    </row>
    <row r="1169" spans="1:6" x14ac:dyDescent="0.2">
      <c r="A1169" s="2">
        <v>45572</v>
      </c>
      <c r="B1169" s="1" t="s">
        <v>384</v>
      </c>
      <c r="C1169" s="1" t="s">
        <v>297</v>
      </c>
      <c r="D1169" s="4">
        <v>1100</v>
      </c>
      <c r="E1169" t="str">
        <f t="shared" si="37"/>
        <v>Direct</v>
      </c>
      <c r="F1169" s="13" t="str">
        <f t="shared" si="36"/>
        <v>2024-10</v>
      </c>
    </row>
    <row r="1170" spans="1:6" x14ac:dyDescent="0.2">
      <c r="A1170" s="2">
        <v>45572</v>
      </c>
      <c r="B1170" s="1" t="s">
        <v>563</v>
      </c>
      <c r="C1170" s="1" t="s">
        <v>297</v>
      </c>
      <c r="D1170" s="4">
        <v>250</v>
      </c>
      <c r="E1170" t="str">
        <f t="shared" si="37"/>
        <v>Direct</v>
      </c>
      <c r="F1170" s="13" t="str">
        <f t="shared" si="36"/>
        <v>2024-10</v>
      </c>
    </row>
    <row r="1171" spans="1:6" x14ac:dyDescent="0.2">
      <c r="A1171" s="2">
        <v>45572</v>
      </c>
      <c r="B1171" s="1" t="s">
        <v>298</v>
      </c>
      <c r="C1171" s="1" t="s">
        <v>296</v>
      </c>
      <c r="D1171" s="4">
        <v>1100</v>
      </c>
      <c r="E1171" t="str">
        <f t="shared" si="37"/>
        <v>Direct</v>
      </c>
      <c r="F1171" s="13" t="str">
        <f t="shared" si="36"/>
        <v>2024-10</v>
      </c>
    </row>
    <row r="1172" spans="1:6" x14ac:dyDescent="0.2">
      <c r="A1172" s="2">
        <v>45572</v>
      </c>
      <c r="B1172" s="1" t="s">
        <v>985</v>
      </c>
      <c r="C1172" s="1" t="s">
        <v>295</v>
      </c>
      <c r="D1172" s="4">
        <v>22439</v>
      </c>
      <c r="E1172" t="str">
        <f t="shared" si="37"/>
        <v>Direct</v>
      </c>
      <c r="F1172" s="13" t="str">
        <f t="shared" si="36"/>
        <v>2024-10</v>
      </c>
    </row>
    <row r="1173" spans="1:6" x14ac:dyDescent="0.2">
      <c r="A1173" s="2">
        <v>45572</v>
      </c>
      <c r="B1173" s="1" t="s">
        <v>985</v>
      </c>
      <c r="C1173" s="1" t="s">
        <v>296</v>
      </c>
      <c r="D1173" s="4">
        <v>11474.89</v>
      </c>
      <c r="E1173" t="str">
        <f t="shared" si="37"/>
        <v>Direct</v>
      </c>
      <c r="F1173" s="13" t="str">
        <f t="shared" si="36"/>
        <v>2024-10</v>
      </c>
    </row>
    <row r="1174" spans="1:6" x14ac:dyDescent="0.2">
      <c r="A1174" s="2">
        <v>45572</v>
      </c>
      <c r="B1174" s="1" t="s">
        <v>985</v>
      </c>
      <c r="C1174" s="1" t="s">
        <v>297</v>
      </c>
      <c r="D1174" s="4">
        <v>22439</v>
      </c>
      <c r="E1174" t="str">
        <f t="shared" si="37"/>
        <v>Direct</v>
      </c>
      <c r="F1174" s="13" t="str">
        <f t="shared" si="36"/>
        <v>2024-10</v>
      </c>
    </row>
    <row r="1175" spans="1:6" x14ac:dyDescent="0.2">
      <c r="A1175" s="2">
        <v>45573</v>
      </c>
      <c r="B1175" s="1" t="s">
        <v>1069</v>
      </c>
      <c r="C1175" s="1" t="s">
        <v>297</v>
      </c>
      <c r="D1175" s="4">
        <v>2000</v>
      </c>
      <c r="E1175" t="str">
        <f t="shared" si="37"/>
        <v>Direct</v>
      </c>
      <c r="F1175" s="13" t="str">
        <f t="shared" si="36"/>
        <v>2024-10</v>
      </c>
    </row>
    <row r="1176" spans="1:6" x14ac:dyDescent="0.2">
      <c r="A1176" s="2">
        <v>45573</v>
      </c>
      <c r="B1176" s="1" t="s">
        <v>575</v>
      </c>
      <c r="C1176" s="1" t="s">
        <v>296</v>
      </c>
      <c r="D1176" s="4">
        <v>700</v>
      </c>
      <c r="E1176" t="str">
        <f t="shared" si="37"/>
        <v>Direct</v>
      </c>
      <c r="F1176" s="13" t="str">
        <f t="shared" si="36"/>
        <v>2024-10</v>
      </c>
    </row>
    <row r="1177" spans="1:6" x14ac:dyDescent="0.2">
      <c r="A1177" s="2">
        <v>45574</v>
      </c>
      <c r="B1177" s="1" t="s">
        <v>243</v>
      </c>
      <c r="C1177" s="1" t="s">
        <v>994</v>
      </c>
      <c r="D1177" s="4">
        <v>400</v>
      </c>
      <c r="E1177" t="str">
        <f t="shared" si="37"/>
        <v>Shared</v>
      </c>
      <c r="F1177" s="13" t="str">
        <f t="shared" si="36"/>
        <v>2024-10</v>
      </c>
    </row>
    <row r="1178" spans="1:6" x14ac:dyDescent="0.2">
      <c r="A1178" s="2">
        <v>45574</v>
      </c>
      <c r="B1178" s="1" t="s">
        <v>183</v>
      </c>
      <c r="C1178" s="1" t="s">
        <v>994</v>
      </c>
      <c r="D1178" s="4">
        <v>3200</v>
      </c>
      <c r="E1178" t="str">
        <f t="shared" si="37"/>
        <v>Shared</v>
      </c>
      <c r="F1178" s="13" t="str">
        <f t="shared" si="36"/>
        <v>2024-10</v>
      </c>
    </row>
    <row r="1179" spans="1:6" x14ac:dyDescent="0.2">
      <c r="A1179" s="2">
        <v>45576</v>
      </c>
      <c r="B1179" s="1" t="s">
        <v>1070</v>
      </c>
      <c r="C1179" s="1" t="s">
        <v>295</v>
      </c>
      <c r="D1179" s="4">
        <v>500</v>
      </c>
      <c r="E1179" t="str">
        <f t="shared" si="37"/>
        <v>Direct</v>
      </c>
      <c r="F1179" s="13" t="str">
        <f t="shared" si="36"/>
        <v>2024-10</v>
      </c>
    </row>
    <row r="1180" spans="1:6" x14ac:dyDescent="0.2">
      <c r="A1180" s="2">
        <v>45576</v>
      </c>
      <c r="B1180" s="1" t="s">
        <v>403</v>
      </c>
      <c r="C1180" s="1" t="s">
        <v>297</v>
      </c>
      <c r="D1180" s="4">
        <v>150</v>
      </c>
      <c r="E1180" t="str">
        <f t="shared" si="37"/>
        <v>Direct</v>
      </c>
      <c r="F1180" s="13" t="str">
        <f t="shared" si="36"/>
        <v>2024-10</v>
      </c>
    </row>
    <row r="1181" spans="1:6" x14ac:dyDescent="0.2">
      <c r="A1181" s="2">
        <v>45581</v>
      </c>
      <c r="B1181" s="1" t="s">
        <v>576</v>
      </c>
      <c r="C1181" s="1" t="s">
        <v>297</v>
      </c>
      <c r="D1181" s="4">
        <v>600</v>
      </c>
      <c r="E1181" t="str">
        <f t="shared" si="37"/>
        <v>Direct</v>
      </c>
      <c r="F1181" s="13" t="str">
        <f t="shared" si="36"/>
        <v>2024-10</v>
      </c>
    </row>
    <row r="1182" spans="1:6" x14ac:dyDescent="0.2">
      <c r="A1182" s="2">
        <v>45583</v>
      </c>
      <c r="B1182" s="1" t="s">
        <v>222</v>
      </c>
      <c r="C1182" s="1" t="s">
        <v>994</v>
      </c>
      <c r="D1182" s="4">
        <v>370</v>
      </c>
      <c r="E1182" t="str">
        <f t="shared" si="37"/>
        <v>Shared</v>
      </c>
      <c r="F1182" s="13" t="str">
        <f t="shared" si="36"/>
        <v>2024-10</v>
      </c>
    </row>
    <row r="1183" spans="1:6" x14ac:dyDescent="0.2">
      <c r="A1183" s="2">
        <v>45584</v>
      </c>
      <c r="B1183" s="1" t="s">
        <v>577</v>
      </c>
      <c r="C1183" s="1" t="s">
        <v>297</v>
      </c>
      <c r="D1183" s="4">
        <v>1100</v>
      </c>
      <c r="E1183" t="str">
        <f t="shared" si="37"/>
        <v>Direct</v>
      </c>
      <c r="F1183" s="13" t="str">
        <f t="shared" si="36"/>
        <v>2024-10</v>
      </c>
    </row>
    <row r="1184" spans="1:6" x14ac:dyDescent="0.2">
      <c r="A1184" s="2">
        <v>45584</v>
      </c>
      <c r="B1184" s="1" t="s">
        <v>1071</v>
      </c>
      <c r="C1184" s="1" t="s">
        <v>994</v>
      </c>
      <c r="D1184" s="4">
        <v>1440</v>
      </c>
      <c r="E1184" t="str">
        <f t="shared" si="37"/>
        <v>Shared</v>
      </c>
      <c r="F1184" s="13" t="str">
        <f t="shared" si="36"/>
        <v>2024-10</v>
      </c>
    </row>
    <row r="1185" spans="1:6" x14ac:dyDescent="0.2">
      <c r="A1185" s="2">
        <v>45586</v>
      </c>
      <c r="B1185" s="1" t="s">
        <v>244</v>
      </c>
      <c r="C1185" s="1" t="s">
        <v>994</v>
      </c>
      <c r="D1185" s="4">
        <v>190</v>
      </c>
      <c r="E1185" t="str">
        <f t="shared" si="37"/>
        <v>Shared</v>
      </c>
      <c r="F1185" s="13" t="str">
        <f t="shared" si="36"/>
        <v>2024-10</v>
      </c>
    </row>
    <row r="1186" spans="1:6" x14ac:dyDescent="0.2">
      <c r="A1186" s="2">
        <v>45587</v>
      </c>
      <c r="B1186" s="1" t="s">
        <v>578</v>
      </c>
      <c r="C1186" s="1" t="s">
        <v>297</v>
      </c>
      <c r="D1186" s="4">
        <v>3200</v>
      </c>
      <c r="E1186" t="str">
        <f t="shared" si="37"/>
        <v>Direct</v>
      </c>
      <c r="F1186" s="13" t="str">
        <f t="shared" si="36"/>
        <v>2024-10</v>
      </c>
    </row>
    <row r="1187" spans="1:6" x14ac:dyDescent="0.2">
      <c r="A1187" s="2">
        <v>45592</v>
      </c>
      <c r="B1187" s="1" t="s">
        <v>245</v>
      </c>
      <c r="C1187" s="1" t="s">
        <v>994</v>
      </c>
      <c r="D1187" s="4">
        <v>3000</v>
      </c>
      <c r="E1187" t="str">
        <f t="shared" si="37"/>
        <v>Shared</v>
      </c>
      <c r="F1187" s="13" t="str">
        <f t="shared" si="36"/>
        <v>2024-10</v>
      </c>
    </row>
    <row r="1188" spans="1:6" x14ac:dyDescent="0.2">
      <c r="A1188" s="2">
        <v>45593</v>
      </c>
      <c r="B1188" s="1" t="s">
        <v>579</v>
      </c>
      <c r="C1188" s="1" t="s">
        <v>296</v>
      </c>
      <c r="D1188" s="4">
        <v>3700</v>
      </c>
      <c r="E1188" t="str">
        <f t="shared" si="37"/>
        <v>Direct</v>
      </c>
      <c r="F1188" s="13" t="str">
        <f t="shared" si="36"/>
        <v>2024-10</v>
      </c>
    </row>
    <row r="1189" spans="1:6" x14ac:dyDescent="0.2">
      <c r="A1189" s="2">
        <v>45593</v>
      </c>
      <c r="B1189" s="1" t="s">
        <v>580</v>
      </c>
      <c r="C1189" s="1" t="s">
        <v>297</v>
      </c>
      <c r="D1189" s="4">
        <v>1300</v>
      </c>
      <c r="E1189" t="str">
        <f t="shared" si="37"/>
        <v>Direct</v>
      </c>
      <c r="F1189" s="13" t="str">
        <f t="shared" si="36"/>
        <v>2024-10</v>
      </c>
    </row>
    <row r="1190" spans="1:6" x14ac:dyDescent="0.2">
      <c r="A1190" s="2">
        <v>45593</v>
      </c>
      <c r="B1190" s="1" t="s">
        <v>581</v>
      </c>
      <c r="C1190" s="1" t="s">
        <v>297</v>
      </c>
      <c r="D1190" s="4">
        <v>480</v>
      </c>
      <c r="E1190" t="str">
        <f t="shared" si="37"/>
        <v>Direct</v>
      </c>
      <c r="F1190" s="13" t="str">
        <f t="shared" si="36"/>
        <v>2024-10</v>
      </c>
    </row>
    <row r="1191" spans="1:6" x14ac:dyDescent="0.2">
      <c r="A1191" s="2">
        <v>45595</v>
      </c>
      <c r="B1191" s="1" t="s">
        <v>183</v>
      </c>
      <c r="C1191" s="1" t="s">
        <v>994</v>
      </c>
      <c r="D1191" s="4">
        <v>1200</v>
      </c>
      <c r="E1191" t="str">
        <f t="shared" si="37"/>
        <v>Shared</v>
      </c>
      <c r="F1191" s="13" t="str">
        <f t="shared" si="36"/>
        <v>2024-10</v>
      </c>
    </row>
    <row r="1192" spans="1:6" x14ac:dyDescent="0.2">
      <c r="A1192" s="2">
        <v>45595</v>
      </c>
      <c r="B1192" s="1" t="s">
        <v>582</v>
      </c>
      <c r="C1192" s="1" t="s">
        <v>295</v>
      </c>
      <c r="D1192" s="4">
        <v>250</v>
      </c>
      <c r="E1192" t="str">
        <f t="shared" si="37"/>
        <v>Direct</v>
      </c>
      <c r="F1192" s="13" t="str">
        <f t="shared" si="36"/>
        <v>2024-10</v>
      </c>
    </row>
    <row r="1193" spans="1:6" x14ac:dyDescent="0.2">
      <c r="A1193" s="2">
        <v>45597</v>
      </c>
      <c r="B1193" s="1" t="s">
        <v>246</v>
      </c>
      <c r="C1193" s="1" t="s">
        <v>994</v>
      </c>
      <c r="D1193" s="4">
        <v>800</v>
      </c>
      <c r="E1193" t="str">
        <f t="shared" si="37"/>
        <v>Shared</v>
      </c>
      <c r="F1193" s="13" t="str">
        <f t="shared" si="36"/>
        <v>2024-11</v>
      </c>
    </row>
    <row r="1194" spans="1:6" x14ac:dyDescent="0.2">
      <c r="A1194" s="2">
        <v>45600</v>
      </c>
      <c r="B1194" s="1" t="s">
        <v>583</v>
      </c>
      <c r="C1194" s="1" t="s">
        <v>297</v>
      </c>
      <c r="D1194" s="4">
        <v>250</v>
      </c>
      <c r="E1194" t="str">
        <f t="shared" si="37"/>
        <v>Direct</v>
      </c>
      <c r="F1194" s="13" t="str">
        <f t="shared" si="36"/>
        <v>2024-11</v>
      </c>
    </row>
    <row r="1195" spans="1:6" x14ac:dyDescent="0.2">
      <c r="A1195" s="2">
        <v>45601</v>
      </c>
      <c r="B1195" s="1" t="s">
        <v>584</v>
      </c>
      <c r="C1195" s="1" t="s">
        <v>296</v>
      </c>
      <c r="D1195" s="4">
        <v>400</v>
      </c>
      <c r="E1195" t="str">
        <f t="shared" si="37"/>
        <v>Direct</v>
      </c>
      <c r="F1195" s="13" t="str">
        <f t="shared" si="36"/>
        <v>2024-11</v>
      </c>
    </row>
    <row r="1196" spans="1:6" x14ac:dyDescent="0.2">
      <c r="A1196" s="2">
        <v>45602</v>
      </c>
      <c r="B1196" s="1" t="s">
        <v>585</v>
      </c>
      <c r="C1196" s="1" t="s">
        <v>295</v>
      </c>
      <c r="D1196" s="4">
        <v>150</v>
      </c>
      <c r="E1196" t="str">
        <f t="shared" si="37"/>
        <v>Direct</v>
      </c>
      <c r="F1196" s="13" t="str">
        <f t="shared" si="36"/>
        <v>2024-11</v>
      </c>
    </row>
    <row r="1197" spans="1:6" x14ac:dyDescent="0.2">
      <c r="A1197" s="2">
        <v>45603</v>
      </c>
      <c r="B1197" s="1" t="s">
        <v>586</v>
      </c>
      <c r="C1197" s="1" t="s">
        <v>297</v>
      </c>
      <c r="D1197" s="4">
        <v>1700</v>
      </c>
      <c r="E1197" t="str">
        <f t="shared" si="37"/>
        <v>Direct</v>
      </c>
      <c r="F1197" s="13" t="str">
        <f t="shared" si="36"/>
        <v>2024-11</v>
      </c>
    </row>
    <row r="1198" spans="1:6" x14ac:dyDescent="0.2">
      <c r="A1198" s="2">
        <v>45603</v>
      </c>
      <c r="B1198" s="1" t="s">
        <v>587</v>
      </c>
      <c r="C1198" s="1" t="s">
        <v>297</v>
      </c>
      <c r="D1198" s="4">
        <v>700</v>
      </c>
      <c r="E1198" t="str">
        <f t="shared" si="37"/>
        <v>Direct</v>
      </c>
      <c r="F1198" s="13" t="str">
        <f t="shared" si="36"/>
        <v>2024-11</v>
      </c>
    </row>
    <row r="1199" spans="1:6" x14ac:dyDescent="0.2">
      <c r="A1199" s="2">
        <v>45603</v>
      </c>
      <c r="B1199" s="1" t="s">
        <v>247</v>
      </c>
      <c r="C1199" s="1" t="s">
        <v>296</v>
      </c>
      <c r="D1199" s="4">
        <v>110</v>
      </c>
      <c r="E1199" t="str">
        <f t="shared" si="37"/>
        <v>Direct</v>
      </c>
      <c r="F1199" s="13" t="str">
        <f t="shared" si="36"/>
        <v>2024-11</v>
      </c>
    </row>
    <row r="1200" spans="1:6" x14ac:dyDescent="0.2">
      <c r="A1200" s="2">
        <v>45603</v>
      </c>
      <c r="B1200" s="1" t="s">
        <v>985</v>
      </c>
      <c r="C1200" s="1" t="s">
        <v>295</v>
      </c>
      <c r="D1200" s="4">
        <v>20291</v>
      </c>
      <c r="E1200" t="str">
        <f t="shared" si="37"/>
        <v>Direct</v>
      </c>
      <c r="F1200" s="13" t="str">
        <f t="shared" si="36"/>
        <v>2024-11</v>
      </c>
    </row>
    <row r="1201" spans="1:6" x14ac:dyDescent="0.2">
      <c r="A1201" s="2">
        <v>45603</v>
      </c>
      <c r="B1201" s="1" t="s">
        <v>985</v>
      </c>
      <c r="C1201" s="1" t="s">
        <v>296</v>
      </c>
      <c r="D1201" s="4">
        <v>21819.41</v>
      </c>
      <c r="E1201" t="str">
        <f t="shared" si="37"/>
        <v>Direct</v>
      </c>
      <c r="F1201" s="13" t="str">
        <f t="shared" si="36"/>
        <v>2024-11</v>
      </c>
    </row>
    <row r="1202" spans="1:6" x14ac:dyDescent="0.2">
      <c r="A1202" s="2">
        <v>45603</v>
      </c>
      <c r="B1202" s="1" t="s">
        <v>985</v>
      </c>
      <c r="C1202" s="1" t="s">
        <v>297</v>
      </c>
      <c r="D1202" s="4">
        <v>20291</v>
      </c>
      <c r="E1202" t="str">
        <f t="shared" si="37"/>
        <v>Direct</v>
      </c>
      <c r="F1202" s="13" t="str">
        <f t="shared" si="36"/>
        <v>2024-11</v>
      </c>
    </row>
    <row r="1203" spans="1:6" x14ac:dyDescent="0.2">
      <c r="A1203" s="2">
        <v>45604</v>
      </c>
      <c r="B1203" s="1" t="s">
        <v>542</v>
      </c>
      <c r="C1203" s="1" t="s">
        <v>297</v>
      </c>
      <c r="D1203" s="4">
        <v>150</v>
      </c>
      <c r="E1203" t="str">
        <f t="shared" si="37"/>
        <v>Direct</v>
      </c>
      <c r="F1203" s="13" t="str">
        <f t="shared" si="36"/>
        <v>2024-11</v>
      </c>
    </row>
    <row r="1204" spans="1:6" x14ac:dyDescent="0.2">
      <c r="A1204" s="2">
        <v>45608</v>
      </c>
      <c r="B1204" s="1" t="s">
        <v>248</v>
      </c>
      <c r="C1204" s="1" t="s">
        <v>297</v>
      </c>
      <c r="D1204" s="4">
        <v>300</v>
      </c>
      <c r="E1204" t="str">
        <f t="shared" si="37"/>
        <v>Direct</v>
      </c>
      <c r="F1204" s="13" t="str">
        <f t="shared" si="36"/>
        <v>2024-11</v>
      </c>
    </row>
    <row r="1205" spans="1:6" x14ac:dyDescent="0.2">
      <c r="A1205" s="2">
        <v>45608</v>
      </c>
      <c r="B1205" s="1" t="s">
        <v>183</v>
      </c>
      <c r="C1205" s="1" t="s">
        <v>994</v>
      </c>
      <c r="D1205" s="4">
        <v>3200</v>
      </c>
      <c r="E1205" t="str">
        <f t="shared" si="37"/>
        <v>Shared</v>
      </c>
      <c r="F1205" s="13" t="str">
        <f t="shared" si="36"/>
        <v>2024-11</v>
      </c>
    </row>
    <row r="1206" spans="1:6" x14ac:dyDescent="0.2">
      <c r="A1206" s="2">
        <v>45610</v>
      </c>
      <c r="B1206" s="1" t="s">
        <v>589</v>
      </c>
      <c r="C1206" s="1" t="s">
        <v>296</v>
      </c>
      <c r="D1206" s="4">
        <v>750</v>
      </c>
      <c r="E1206" t="str">
        <f t="shared" si="37"/>
        <v>Direct</v>
      </c>
      <c r="F1206" s="13" t="str">
        <f t="shared" si="36"/>
        <v>2024-11</v>
      </c>
    </row>
    <row r="1207" spans="1:6" x14ac:dyDescent="0.2">
      <c r="A1207" s="2">
        <v>45610</v>
      </c>
      <c r="B1207" s="1" t="s">
        <v>251</v>
      </c>
      <c r="C1207" s="1" t="s">
        <v>994</v>
      </c>
      <c r="D1207" s="4">
        <v>1000</v>
      </c>
      <c r="E1207" t="str">
        <f t="shared" si="37"/>
        <v>Shared</v>
      </c>
      <c r="F1207" s="13" t="str">
        <f t="shared" si="36"/>
        <v>2024-11</v>
      </c>
    </row>
    <row r="1208" spans="1:6" x14ac:dyDescent="0.2">
      <c r="A1208" s="2">
        <v>45611</v>
      </c>
      <c r="B1208" s="1" t="s">
        <v>588</v>
      </c>
      <c r="C1208" s="1" t="s">
        <v>295</v>
      </c>
      <c r="D1208" s="4">
        <v>500</v>
      </c>
      <c r="E1208" t="str">
        <f t="shared" si="37"/>
        <v>Direct</v>
      </c>
      <c r="F1208" s="13" t="str">
        <f t="shared" si="36"/>
        <v>2024-11</v>
      </c>
    </row>
    <row r="1209" spans="1:6" x14ac:dyDescent="0.2">
      <c r="A1209" s="2">
        <v>45611</v>
      </c>
      <c r="B1209" s="1" t="s">
        <v>249</v>
      </c>
      <c r="C1209" s="1" t="s">
        <v>295</v>
      </c>
      <c r="D1209" s="4">
        <v>200</v>
      </c>
      <c r="E1209" t="str">
        <f t="shared" si="37"/>
        <v>Direct</v>
      </c>
      <c r="F1209" s="13" t="str">
        <f t="shared" si="36"/>
        <v>2024-11</v>
      </c>
    </row>
    <row r="1210" spans="1:6" x14ac:dyDescent="0.2">
      <c r="A1210" s="2">
        <v>45611</v>
      </c>
      <c r="B1210" s="1" t="s">
        <v>9</v>
      </c>
      <c r="C1210" s="1" t="s">
        <v>994</v>
      </c>
      <c r="D1210" s="4">
        <v>600</v>
      </c>
      <c r="E1210" t="str">
        <f t="shared" si="37"/>
        <v>Shared</v>
      </c>
      <c r="F1210" s="13" t="str">
        <f t="shared" si="36"/>
        <v>2024-11</v>
      </c>
    </row>
    <row r="1211" spans="1:6" x14ac:dyDescent="0.2">
      <c r="A1211" s="2">
        <v>45611</v>
      </c>
      <c r="B1211" s="1" t="s">
        <v>250</v>
      </c>
      <c r="C1211" s="1" t="s">
        <v>994</v>
      </c>
      <c r="D1211" s="4">
        <v>2640</v>
      </c>
      <c r="E1211" t="str">
        <f t="shared" si="37"/>
        <v>Shared</v>
      </c>
      <c r="F1211" s="13" t="str">
        <f t="shared" si="36"/>
        <v>2024-11</v>
      </c>
    </row>
    <row r="1212" spans="1:6" x14ac:dyDescent="0.2">
      <c r="A1212" s="2">
        <v>45611</v>
      </c>
      <c r="B1212" s="1" t="s">
        <v>252</v>
      </c>
      <c r="C1212" s="1" t="s">
        <v>296</v>
      </c>
      <c r="D1212" s="4">
        <v>150</v>
      </c>
      <c r="E1212" t="str">
        <f t="shared" si="37"/>
        <v>Direct</v>
      </c>
      <c r="F1212" s="13" t="str">
        <f t="shared" si="36"/>
        <v>2024-11</v>
      </c>
    </row>
    <row r="1213" spans="1:6" x14ac:dyDescent="0.2">
      <c r="A1213" s="2">
        <v>45612</v>
      </c>
      <c r="B1213" s="1" t="s">
        <v>253</v>
      </c>
      <c r="C1213" s="1" t="s">
        <v>296</v>
      </c>
      <c r="D1213" s="4">
        <v>400</v>
      </c>
      <c r="E1213" t="str">
        <f t="shared" si="37"/>
        <v>Direct</v>
      </c>
      <c r="F1213" s="13" t="str">
        <f t="shared" si="36"/>
        <v>2024-11</v>
      </c>
    </row>
    <row r="1214" spans="1:6" x14ac:dyDescent="0.2">
      <c r="A1214" s="2">
        <v>45614</v>
      </c>
      <c r="B1214" s="1" t="s">
        <v>590</v>
      </c>
      <c r="C1214" s="1" t="s">
        <v>295</v>
      </c>
      <c r="D1214" s="4">
        <v>1100</v>
      </c>
      <c r="E1214" t="str">
        <f t="shared" si="37"/>
        <v>Direct</v>
      </c>
      <c r="F1214" s="13" t="str">
        <f t="shared" si="36"/>
        <v>2024-11</v>
      </c>
    </row>
    <row r="1215" spans="1:6" x14ac:dyDescent="0.2">
      <c r="A1215" s="2">
        <v>45615</v>
      </c>
      <c r="B1215" s="1" t="s">
        <v>591</v>
      </c>
      <c r="C1215" s="1" t="s">
        <v>295</v>
      </c>
      <c r="D1215" s="4">
        <v>2800</v>
      </c>
      <c r="E1215" t="str">
        <f t="shared" si="37"/>
        <v>Direct</v>
      </c>
      <c r="F1215" s="13" t="str">
        <f t="shared" si="36"/>
        <v>2024-11</v>
      </c>
    </row>
    <row r="1216" spans="1:6" x14ac:dyDescent="0.2">
      <c r="A1216" s="2">
        <v>45616</v>
      </c>
      <c r="B1216" s="1" t="s">
        <v>1072</v>
      </c>
      <c r="C1216" s="1" t="s">
        <v>295</v>
      </c>
      <c r="D1216" s="4">
        <v>600</v>
      </c>
      <c r="E1216" t="str">
        <f t="shared" si="37"/>
        <v>Direct</v>
      </c>
      <c r="F1216" s="13" t="str">
        <f t="shared" si="36"/>
        <v>2024-11</v>
      </c>
    </row>
    <row r="1217" spans="1:6" x14ac:dyDescent="0.2">
      <c r="A1217" s="2">
        <v>45616</v>
      </c>
      <c r="B1217" s="1" t="s">
        <v>592</v>
      </c>
      <c r="C1217" s="1" t="s">
        <v>295</v>
      </c>
      <c r="D1217" s="4">
        <v>350</v>
      </c>
      <c r="E1217" t="str">
        <f t="shared" si="37"/>
        <v>Direct</v>
      </c>
      <c r="F1217" s="13" t="str">
        <f t="shared" si="36"/>
        <v>2024-11</v>
      </c>
    </row>
    <row r="1218" spans="1:6" x14ac:dyDescent="0.2">
      <c r="A1218" s="2">
        <v>45616</v>
      </c>
      <c r="B1218" s="1" t="s">
        <v>183</v>
      </c>
      <c r="C1218" s="1" t="s">
        <v>994</v>
      </c>
      <c r="D1218" s="4">
        <v>4000</v>
      </c>
      <c r="E1218" t="str">
        <f t="shared" si="37"/>
        <v>Shared</v>
      </c>
      <c r="F1218" s="13" t="str">
        <f t="shared" ref="F1218:F1281" si="38">YEAR(A1218)&amp;"-"&amp;TEXT(MONTH(A1218),"00")</f>
        <v>2024-11</v>
      </c>
    </row>
    <row r="1219" spans="1:6" x14ac:dyDescent="0.2">
      <c r="A1219" s="2">
        <v>45616</v>
      </c>
      <c r="B1219" s="1" t="s">
        <v>9</v>
      </c>
      <c r="C1219" s="1" t="s">
        <v>994</v>
      </c>
      <c r="D1219" s="4">
        <v>650</v>
      </c>
      <c r="E1219" t="str">
        <f t="shared" ref="E1219:E1282" si="39">IF(OR(C1219="A302", C1219="B303", C1219="C301"), "Direct", "Shared")</f>
        <v>Shared</v>
      </c>
      <c r="F1219" s="13" t="str">
        <f t="shared" si="38"/>
        <v>2024-11</v>
      </c>
    </row>
    <row r="1220" spans="1:6" x14ac:dyDescent="0.2">
      <c r="A1220" s="2">
        <v>45617</v>
      </c>
      <c r="B1220" s="1" t="s">
        <v>254</v>
      </c>
      <c r="C1220" s="1" t="s">
        <v>994</v>
      </c>
      <c r="D1220" s="4">
        <v>400</v>
      </c>
      <c r="E1220" t="str">
        <f t="shared" si="39"/>
        <v>Shared</v>
      </c>
      <c r="F1220" s="13" t="str">
        <f t="shared" si="38"/>
        <v>2024-11</v>
      </c>
    </row>
    <row r="1221" spans="1:6" x14ac:dyDescent="0.2">
      <c r="A1221" s="2">
        <v>45617</v>
      </c>
      <c r="B1221" s="1" t="s">
        <v>595</v>
      </c>
      <c r="C1221" s="1" t="s">
        <v>295</v>
      </c>
      <c r="D1221" s="4">
        <v>2000</v>
      </c>
      <c r="E1221" t="str">
        <f t="shared" si="39"/>
        <v>Direct</v>
      </c>
      <c r="F1221" s="13" t="str">
        <f t="shared" si="38"/>
        <v>2024-11</v>
      </c>
    </row>
    <row r="1222" spans="1:6" x14ac:dyDescent="0.2">
      <c r="A1222" s="2">
        <v>45618</v>
      </c>
      <c r="B1222" s="1" t="s">
        <v>593</v>
      </c>
      <c r="C1222" s="1" t="s">
        <v>295</v>
      </c>
      <c r="D1222" s="4">
        <v>2500</v>
      </c>
      <c r="E1222" t="str">
        <f t="shared" si="39"/>
        <v>Direct</v>
      </c>
      <c r="F1222" s="13" t="str">
        <f t="shared" si="38"/>
        <v>2024-11</v>
      </c>
    </row>
    <row r="1223" spans="1:6" x14ac:dyDescent="0.2">
      <c r="A1223" s="2">
        <v>45618</v>
      </c>
      <c r="B1223" s="1" t="s">
        <v>255</v>
      </c>
      <c r="C1223" s="1" t="s">
        <v>994</v>
      </c>
      <c r="D1223" s="4">
        <v>2000</v>
      </c>
      <c r="E1223" t="str">
        <f t="shared" si="39"/>
        <v>Shared</v>
      </c>
      <c r="F1223" s="13" t="str">
        <f t="shared" si="38"/>
        <v>2024-11</v>
      </c>
    </row>
    <row r="1224" spans="1:6" x14ac:dyDescent="0.2">
      <c r="A1224" s="2">
        <v>45618</v>
      </c>
      <c r="B1224" s="1" t="s">
        <v>1073</v>
      </c>
      <c r="C1224" s="1" t="s">
        <v>994</v>
      </c>
      <c r="D1224" s="4">
        <v>750</v>
      </c>
      <c r="E1224" t="str">
        <f t="shared" si="39"/>
        <v>Shared</v>
      </c>
      <c r="F1224" s="13" t="str">
        <f t="shared" si="38"/>
        <v>2024-11</v>
      </c>
    </row>
    <row r="1225" spans="1:6" x14ac:dyDescent="0.2">
      <c r="A1225" s="2">
        <v>45619</v>
      </c>
      <c r="B1225" s="1" t="s">
        <v>594</v>
      </c>
      <c r="C1225" s="1" t="s">
        <v>297</v>
      </c>
      <c r="D1225" s="4">
        <v>3000</v>
      </c>
      <c r="E1225" t="str">
        <f t="shared" si="39"/>
        <v>Direct</v>
      </c>
      <c r="F1225" s="13" t="str">
        <f t="shared" si="38"/>
        <v>2024-11</v>
      </c>
    </row>
    <row r="1226" spans="1:6" x14ac:dyDescent="0.2">
      <c r="A1226" s="2">
        <v>45621</v>
      </c>
      <c r="B1226" s="1" t="s">
        <v>1074</v>
      </c>
      <c r="C1226" s="1" t="s">
        <v>295</v>
      </c>
      <c r="D1226" s="4">
        <v>2000</v>
      </c>
      <c r="E1226" t="str">
        <f t="shared" si="39"/>
        <v>Direct</v>
      </c>
      <c r="F1226" s="13" t="str">
        <f t="shared" si="38"/>
        <v>2024-11</v>
      </c>
    </row>
    <row r="1227" spans="1:6" x14ac:dyDescent="0.2">
      <c r="A1227" s="2">
        <v>45621</v>
      </c>
      <c r="B1227" s="1" t="s">
        <v>1075</v>
      </c>
      <c r="C1227" s="1" t="s">
        <v>295</v>
      </c>
      <c r="D1227" s="4">
        <v>350</v>
      </c>
      <c r="E1227" t="str">
        <f t="shared" si="39"/>
        <v>Direct</v>
      </c>
      <c r="F1227" s="13" t="str">
        <f t="shared" si="38"/>
        <v>2024-11</v>
      </c>
    </row>
    <row r="1228" spans="1:6" x14ac:dyDescent="0.2">
      <c r="A1228" s="2">
        <v>45623</v>
      </c>
      <c r="B1228" s="1" t="s">
        <v>596</v>
      </c>
      <c r="C1228" s="1" t="s">
        <v>295</v>
      </c>
      <c r="D1228" s="4">
        <v>1900</v>
      </c>
      <c r="E1228" t="str">
        <f t="shared" si="39"/>
        <v>Direct</v>
      </c>
      <c r="F1228" s="13" t="str">
        <f t="shared" si="38"/>
        <v>2024-11</v>
      </c>
    </row>
    <row r="1229" spans="1:6" x14ac:dyDescent="0.2">
      <c r="A1229" s="2">
        <v>45623</v>
      </c>
      <c r="B1229" s="1" t="s">
        <v>1076</v>
      </c>
      <c r="C1229" s="1" t="s">
        <v>295</v>
      </c>
      <c r="D1229" s="4">
        <v>490</v>
      </c>
      <c r="E1229" t="str">
        <f t="shared" si="39"/>
        <v>Direct</v>
      </c>
      <c r="F1229" s="13" t="str">
        <f t="shared" si="38"/>
        <v>2024-11</v>
      </c>
    </row>
    <row r="1230" spans="1:6" x14ac:dyDescent="0.2">
      <c r="A1230" s="2">
        <v>45623</v>
      </c>
      <c r="B1230" s="1" t="s">
        <v>597</v>
      </c>
      <c r="C1230" s="1" t="s">
        <v>296</v>
      </c>
      <c r="D1230" s="4">
        <v>410</v>
      </c>
      <c r="E1230" t="str">
        <f t="shared" si="39"/>
        <v>Direct</v>
      </c>
      <c r="F1230" s="13" t="str">
        <f t="shared" si="38"/>
        <v>2024-11</v>
      </c>
    </row>
    <row r="1231" spans="1:6" x14ac:dyDescent="0.2">
      <c r="A1231" s="2">
        <v>45623</v>
      </c>
      <c r="B1231" s="1" t="s">
        <v>598</v>
      </c>
      <c r="C1231" s="1" t="s">
        <v>296</v>
      </c>
      <c r="D1231" s="4">
        <v>450</v>
      </c>
      <c r="E1231" t="str">
        <f t="shared" si="39"/>
        <v>Direct</v>
      </c>
      <c r="F1231" s="13" t="str">
        <f t="shared" si="38"/>
        <v>2024-11</v>
      </c>
    </row>
    <row r="1232" spans="1:6" x14ac:dyDescent="0.2">
      <c r="A1232" s="2">
        <v>45623</v>
      </c>
      <c r="B1232" s="1" t="s">
        <v>599</v>
      </c>
      <c r="C1232" s="1" t="s">
        <v>296</v>
      </c>
      <c r="D1232" s="4">
        <v>450</v>
      </c>
      <c r="E1232" t="str">
        <f t="shared" si="39"/>
        <v>Direct</v>
      </c>
      <c r="F1232" s="13" t="str">
        <f t="shared" si="38"/>
        <v>2024-11</v>
      </c>
    </row>
    <row r="1233" spans="1:6" x14ac:dyDescent="0.2">
      <c r="A1233" s="2">
        <v>45623</v>
      </c>
      <c r="B1233" s="1" t="s">
        <v>600</v>
      </c>
      <c r="C1233" s="1" t="s">
        <v>296</v>
      </c>
      <c r="D1233" s="4">
        <v>450</v>
      </c>
      <c r="E1233" t="str">
        <f t="shared" si="39"/>
        <v>Direct</v>
      </c>
      <c r="F1233" s="13" t="str">
        <f t="shared" si="38"/>
        <v>2024-11</v>
      </c>
    </row>
    <row r="1234" spans="1:6" x14ac:dyDescent="0.2">
      <c r="A1234" s="2">
        <v>45623</v>
      </c>
      <c r="B1234" s="1" t="s">
        <v>256</v>
      </c>
      <c r="C1234" s="1" t="s">
        <v>994</v>
      </c>
      <c r="D1234" s="4">
        <v>1490</v>
      </c>
      <c r="E1234" t="str">
        <f t="shared" si="39"/>
        <v>Shared</v>
      </c>
      <c r="F1234" s="13" t="str">
        <f t="shared" si="38"/>
        <v>2024-11</v>
      </c>
    </row>
    <row r="1235" spans="1:6" x14ac:dyDescent="0.2">
      <c r="A1235" s="2">
        <v>45623</v>
      </c>
      <c r="B1235" s="1" t="s">
        <v>183</v>
      </c>
      <c r="C1235" s="1" t="s">
        <v>994</v>
      </c>
      <c r="D1235" s="4">
        <v>3000</v>
      </c>
      <c r="E1235" t="str">
        <f t="shared" si="39"/>
        <v>Shared</v>
      </c>
      <c r="F1235" s="13" t="str">
        <f t="shared" si="38"/>
        <v>2024-11</v>
      </c>
    </row>
    <row r="1236" spans="1:6" x14ac:dyDescent="0.2">
      <c r="A1236" s="2">
        <v>45623</v>
      </c>
      <c r="B1236" s="1" t="s">
        <v>5</v>
      </c>
      <c r="C1236" s="1" t="s">
        <v>994</v>
      </c>
      <c r="D1236" s="4">
        <v>1570</v>
      </c>
      <c r="E1236" t="str">
        <f t="shared" si="39"/>
        <v>Shared</v>
      </c>
      <c r="F1236" s="13" t="str">
        <f t="shared" si="38"/>
        <v>2024-11</v>
      </c>
    </row>
    <row r="1237" spans="1:6" x14ac:dyDescent="0.2">
      <c r="A1237" s="2">
        <v>45624</v>
      </c>
      <c r="B1237" s="1" t="s">
        <v>601</v>
      </c>
      <c r="C1237" s="1" t="s">
        <v>296</v>
      </c>
      <c r="D1237" s="4">
        <v>2000</v>
      </c>
      <c r="E1237" t="str">
        <f t="shared" si="39"/>
        <v>Direct</v>
      </c>
      <c r="F1237" s="13" t="str">
        <f t="shared" si="38"/>
        <v>2024-11</v>
      </c>
    </row>
    <row r="1238" spans="1:6" x14ac:dyDescent="0.2">
      <c r="A1238" s="2">
        <v>45624</v>
      </c>
      <c r="B1238" s="1" t="s">
        <v>602</v>
      </c>
      <c r="C1238" s="1" t="s">
        <v>296</v>
      </c>
      <c r="D1238" s="4">
        <v>1500</v>
      </c>
      <c r="E1238" t="str">
        <f t="shared" si="39"/>
        <v>Direct</v>
      </c>
      <c r="F1238" s="13" t="str">
        <f t="shared" si="38"/>
        <v>2024-11</v>
      </c>
    </row>
    <row r="1239" spans="1:6" x14ac:dyDescent="0.2">
      <c r="A1239" s="2">
        <v>45624</v>
      </c>
      <c r="B1239" s="1" t="s">
        <v>603</v>
      </c>
      <c r="C1239" s="1" t="s">
        <v>295</v>
      </c>
      <c r="D1239" s="4">
        <v>1600</v>
      </c>
      <c r="E1239" t="str">
        <f t="shared" si="39"/>
        <v>Direct</v>
      </c>
      <c r="F1239" s="13" t="str">
        <f t="shared" si="38"/>
        <v>2024-11</v>
      </c>
    </row>
    <row r="1240" spans="1:6" x14ac:dyDescent="0.2">
      <c r="A1240" s="2">
        <v>45624</v>
      </c>
      <c r="B1240" s="1" t="s">
        <v>604</v>
      </c>
      <c r="C1240" s="1" t="s">
        <v>296</v>
      </c>
      <c r="D1240" s="4">
        <v>2000</v>
      </c>
      <c r="E1240" t="str">
        <f t="shared" si="39"/>
        <v>Direct</v>
      </c>
      <c r="F1240" s="13" t="str">
        <f t="shared" si="38"/>
        <v>2024-11</v>
      </c>
    </row>
    <row r="1241" spans="1:6" x14ac:dyDescent="0.2">
      <c r="A1241" s="2">
        <v>45624</v>
      </c>
      <c r="B1241" s="1" t="s">
        <v>605</v>
      </c>
      <c r="C1241" s="1" t="s">
        <v>296</v>
      </c>
      <c r="D1241" s="4">
        <v>3000</v>
      </c>
      <c r="E1241" t="str">
        <f t="shared" si="39"/>
        <v>Direct</v>
      </c>
      <c r="F1241" s="13" t="str">
        <f t="shared" si="38"/>
        <v>2024-11</v>
      </c>
    </row>
    <row r="1242" spans="1:6" x14ac:dyDescent="0.2">
      <c r="A1242" s="2">
        <v>45624</v>
      </c>
      <c r="B1242" s="1" t="s">
        <v>257</v>
      </c>
      <c r="C1242" s="1" t="s">
        <v>994</v>
      </c>
      <c r="D1242" s="4">
        <v>300</v>
      </c>
      <c r="E1242" t="str">
        <f t="shared" si="39"/>
        <v>Shared</v>
      </c>
      <c r="F1242" s="13" t="str">
        <f t="shared" si="38"/>
        <v>2024-11</v>
      </c>
    </row>
    <row r="1243" spans="1:6" x14ac:dyDescent="0.2">
      <c r="A1243" s="2">
        <v>45626</v>
      </c>
      <c r="B1243" s="1" t="s">
        <v>542</v>
      </c>
      <c r="C1243" s="1" t="s">
        <v>295</v>
      </c>
      <c r="D1243" s="4">
        <v>150</v>
      </c>
      <c r="E1243" t="str">
        <f t="shared" si="39"/>
        <v>Direct</v>
      </c>
      <c r="F1243" s="13" t="str">
        <f t="shared" si="38"/>
        <v>2024-11</v>
      </c>
    </row>
    <row r="1244" spans="1:6" x14ac:dyDescent="0.2">
      <c r="A1244" s="2">
        <v>45629</v>
      </c>
      <c r="B1244" s="1" t="s">
        <v>606</v>
      </c>
      <c r="C1244" s="1" t="s">
        <v>295</v>
      </c>
      <c r="D1244" s="4">
        <v>200</v>
      </c>
      <c r="E1244" t="str">
        <f t="shared" si="39"/>
        <v>Direct</v>
      </c>
      <c r="F1244" s="13" t="str">
        <f t="shared" si="38"/>
        <v>2024-12</v>
      </c>
    </row>
    <row r="1245" spans="1:6" x14ac:dyDescent="0.2">
      <c r="A1245" s="2">
        <v>45629</v>
      </c>
      <c r="B1245" s="1" t="s">
        <v>608</v>
      </c>
      <c r="C1245" s="1" t="s">
        <v>296</v>
      </c>
      <c r="D1245" s="4">
        <v>1500</v>
      </c>
      <c r="E1245" t="str">
        <f t="shared" si="39"/>
        <v>Direct</v>
      </c>
      <c r="F1245" s="13" t="str">
        <f t="shared" si="38"/>
        <v>2024-12</v>
      </c>
    </row>
    <row r="1246" spans="1:6" x14ac:dyDescent="0.2">
      <c r="A1246" s="2">
        <v>45629</v>
      </c>
      <c r="B1246" s="1" t="s">
        <v>453</v>
      </c>
      <c r="C1246" s="1" t="s">
        <v>295</v>
      </c>
      <c r="D1246" s="4">
        <v>350</v>
      </c>
      <c r="E1246" t="str">
        <f t="shared" si="39"/>
        <v>Direct</v>
      </c>
      <c r="F1246" s="13" t="str">
        <f t="shared" si="38"/>
        <v>2024-12</v>
      </c>
    </row>
    <row r="1247" spans="1:6" x14ac:dyDescent="0.2">
      <c r="A1247" s="2">
        <v>45629</v>
      </c>
      <c r="B1247" s="1" t="s">
        <v>584</v>
      </c>
      <c r="C1247" s="1" t="s">
        <v>296</v>
      </c>
      <c r="D1247" s="4">
        <v>300</v>
      </c>
      <c r="E1247" t="str">
        <f t="shared" si="39"/>
        <v>Direct</v>
      </c>
      <c r="F1247" s="13" t="str">
        <f t="shared" si="38"/>
        <v>2024-12</v>
      </c>
    </row>
    <row r="1248" spans="1:6" x14ac:dyDescent="0.2">
      <c r="A1248" s="2">
        <v>45629</v>
      </c>
      <c r="B1248" s="1" t="s">
        <v>258</v>
      </c>
      <c r="C1248" s="1" t="s">
        <v>994</v>
      </c>
      <c r="D1248" s="4">
        <v>2367.87</v>
      </c>
      <c r="E1248" t="str">
        <f t="shared" si="39"/>
        <v>Shared</v>
      </c>
      <c r="F1248" s="13" t="str">
        <f t="shared" si="38"/>
        <v>2024-12</v>
      </c>
    </row>
    <row r="1249" spans="1:6" x14ac:dyDescent="0.2">
      <c r="A1249" s="2">
        <v>45629</v>
      </c>
      <c r="B1249" s="1" t="s">
        <v>183</v>
      </c>
      <c r="C1249" s="1" t="s">
        <v>994</v>
      </c>
      <c r="D1249" s="4">
        <v>5000</v>
      </c>
      <c r="E1249" t="str">
        <f t="shared" si="39"/>
        <v>Shared</v>
      </c>
      <c r="F1249" s="13" t="str">
        <f t="shared" si="38"/>
        <v>2024-12</v>
      </c>
    </row>
    <row r="1250" spans="1:6" x14ac:dyDescent="0.2">
      <c r="A1250" s="2">
        <v>45630</v>
      </c>
      <c r="B1250" s="1" t="s">
        <v>607</v>
      </c>
      <c r="C1250" s="1" t="s">
        <v>295</v>
      </c>
      <c r="D1250" s="4">
        <v>400</v>
      </c>
      <c r="E1250" t="str">
        <f t="shared" si="39"/>
        <v>Direct</v>
      </c>
      <c r="F1250" s="13" t="str">
        <f t="shared" si="38"/>
        <v>2024-12</v>
      </c>
    </row>
    <row r="1251" spans="1:6" x14ac:dyDescent="0.2">
      <c r="A1251" s="2">
        <v>45630</v>
      </c>
      <c r="B1251" s="1" t="s">
        <v>609</v>
      </c>
      <c r="C1251" s="1" t="s">
        <v>295</v>
      </c>
      <c r="D1251" s="4">
        <v>1000</v>
      </c>
      <c r="E1251" t="str">
        <f t="shared" si="39"/>
        <v>Direct</v>
      </c>
      <c r="F1251" s="13" t="str">
        <f t="shared" si="38"/>
        <v>2024-12</v>
      </c>
    </row>
    <row r="1252" spans="1:6" x14ac:dyDescent="0.2">
      <c r="A1252" s="2">
        <v>45631</v>
      </c>
      <c r="B1252" s="1" t="s">
        <v>259</v>
      </c>
      <c r="C1252" s="1" t="s">
        <v>994</v>
      </c>
      <c r="D1252" s="4">
        <v>400</v>
      </c>
      <c r="E1252" t="str">
        <f t="shared" si="39"/>
        <v>Shared</v>
      </c>
      <c r="F1252" s="13" t="str">
        <f t="shared" si="38"/>
        <v>2024-12</v>
      </c>
    </row>
    <row r="1253" spans="1:6" x14ac:dyDescent="0.2">
      <c r="A1253" s="2">
        <v>45633</v>
      </c>
      <c r="B1253" s="1" t="s">
        <v>985</v>
      </c>
      <c r="C1253" s="1" t="s">
        <v>295</v>
      </c>
      <c r="D1253" s="4">
        <v>22237</v>
      </c>
      <c r="E1253" t="str">
        <f t="shared" si="39"/>
        <v>Direct</v>
      </c>
      <c r="F1253" s="13" t="str">
        <f t="shared" si="38"/>
        <v>2024-12</v>
      </c>
    </row>
    <row r="1254" spans="1:6" x14ac:dyDescent="0.2">
      <c r="A1254" s="2">
        <v>45633</v>
      </c>
      <c r="B1254" s="1" t="s">
        <v>985</v>
      </c>
      <c r="C1254" s="1" t="s">
        <v>296</v>
      </c>
      <c r="D1254" s="4">
        <v>23202.94</v>
      </c>
      <c r="E1254" t="str">
        <f t="shared" si="39"/>
        <v>Direct</v>
      </c>
      <c r="F1254" s="13" t="str">
        <f t="shared" si="38"/>
        <v>2024-12</v>
      </c>
    </row>
    <row r="1255" spans="1:6" x14ac:dyDescent="0.2">
      <c r="A1255" s="2">
        <v>45633</v>
      </c>
      <c r="B1255" s="1" t="s">
        <v>985</v>
      </c>
      <c r="C1255" s="1" t="s">
        <v>297</v>
      </c>
      <c r="D1255" s="4">
        <v>22237</v>
      </c>
      <c r="E1255" t="str">
        <f t="shared" si="39"/>
        <v>Direct</v>
      </c>
      <c r="F1255" s="13" t="str">
        <f t="shared" si="38"/>
        <v>2024-12</v>
      </c>
    </row>
    <row r="1256" spans="1:6" x14ac:dyDescent="0.2">
      <c r="A1256" s="2">
        <v>45634</v>
      </c>
      <c r="B1256" s="1" t="s">
        <v>610</v>
      </c>
      <c r="C1256" s="1" t="s">
        <v>295</v>
      </c>
      <c r="D1256" s="4">
        <v>500</v>
      </c>
      <c r="E1256" t="str">
        <f t="shared" si="39"/>
        <v>Direct</v>
      </c>
      <c r="F1256" s="13" t="str">
        <f t="shared" si="38"/>
        <v>2024-12</v>
      </c>
    </row>
    <row r="1257" spans="1:6" x14ac:dyDescent="0.2">
      <c r="A1257" s="2">
        <v>45637</v>
      </c>
      <c r="B1257" s="1" t="s">
        <v>542</v>
      </c>
      <c r="C1257" s="1" t="s">
        <v>296</v>
      </c>
      <c r="D1257" s="4">
        <v>150</v>
      </c>
      <c r="E1257" t="str">
        <f t="shared" si="39"/>
        <v>Direct</v>
      </c>
      <c r="F1257" s="13" t="str">
        <f t="shared" si="38"/>
        <v>2024-12</v>
      </c>
    </row>
    <row r="1258" spans="1:6" x14ac:dyDescent="0.2">
      <c r="A1258" s="2">
        <v>45642</v>
      </c>
      <c r="B1258" s="1" t="s">
        <v>611</v>
      </c>
      <c r="C1258" s="1" t="s">
        <v>297</v>
      </c>
      <c r="D1258" s="4">
        <v>450</v>
      </c>
      <c r="E1258" t="str">
        <f t="shared" si="39"/>
        <v>Direct</v>
      </c>
      <c r="F1258" s="13" t="str">
        <f t="shared" si="38"/>
        <v>2024-12</v>
      </c>
    </row>
    <row r="1259" spans="1:6" x14ac:dyDescent="0.2">
      <c r="A1259" s="2">
        <v>45642</v>
      </c>
      <c r="B1259" s="1" t="s">
        <v>612</v>
      </c>
      <c r="C1259" s="1" t="s">
        <v>297</v>
      </c>
      <c r="D1259" s="4">
        <v>750</v>
      </c>
      <c r="E1259" t="str">
        <f t="shared" si="39"/>
        <v>Direct</v>
      </c>
      <c r="F1259" s="13" t="str">
        <f t="shared" si="38"/>
        <v>2024-12</v>
      </c>
    </row>
    <row r="1260" spans="1:6" x14ac:dyDescent="0.2">
      <c r="A1260" s="2">
        <v>45643</v>
      </c>
      <c r="B1260" s="1" t="s">
        <v>315</v>
      </c>
      <c r="C1260" s="1" t="s">
        <v>295</v>
      </c>
      <c r="D1260" s="4">
        <v>1510</v>
      </c>
      <c r="E1260" t="str">
        <f t="shared" si="39"/>
        <v>Direct</v>
      </c>
      <c r="F1260" s="13" t="str">
        <f t="shared" si="38"/>
        <v>2024-12</v>
      </c>
    </row>
    <row r="1261" spans="1:6" x14ac:dyDescent="0.2">
      <c r="A1261" s="2">
        <v>45649</v>
      </c>
      <c r="B1261" s="1" t="s">
        <v>9</v>
      </c>
      <c r="C1261" s="1" t="s">
        <v>296</v>
      </c>
      <c r="D1261" s="4">
        <v>500</v>
      </c>
      <c r="E1261" t="str">
        <f t="shared" si="39"/>
        <v>Direct</v>
      </c>
      <c r="F1261" s="13" t="str">
        <f t="shared" si="38"/>
        <v>2024-12</v>
      </c>
    </row>
    <row r="1262" spans="1:6" x14ac:dyDescent="0.2">
      <c r="A1262" s="2">
        <v>45649</v>
      </c>
      <c r="B1262" s="1" t="s">
        <v>613</v>
      </c>
      <c r="C1262" s="1" t="s">
        <v>295</v>
      </c>
      <c r="D1262" s="4">
        <v>1500</v>
      </c>
      <c r="E1262" t="str">
        <f t="shared" si="39"/>
        <v>Direct</v>
      </c>
      <c r="F1262" s="13" t="str">
        <f t="shared" si="38"/>
        <v>2024-12</v>
      </c>
    </row>
    <row r="1263" spans="1:6" x14ac:dyDescent="0.2">
      <c r="A1263" s="2">
        <v>45649</v>
      </c>
      <c r="B1263" s="1" t="s">
        <v>226</v>
      </c>
      <c r="C1263" s="1" t="s">
        <v>994</v>
      </c>
      <c r="D1263" s="4">
        <v>400</v>
      </c>
      <c r="E1263" t="str">
        <f t="shared" si="39"/>
        <v>Shared</v>
      </c>
      <c r="F1263" s="13" t="str">
        <f t="shared" si="38"/>
        <v>2024-12</v>
      </c>
    </row>
    <row r="1264" spans="1:6" x14ac:dyDescent="0.2">
      <c r="A1264" s="2">
        <v>45650</v>
      </c>
      <c r="B1264" s="1" t="s">
        <v>614</v>
      </c>
      <c r="C1264" s="1" t="s">
        <v>295</v>
      </c>
      <c r="D1264" s="4">
        <v>250</v>
      </c>
      <c r="E1264" t="str">
        <f t="shared" si="39"/>
        <v>Direct</v>
      </c>
      <c r="F1264" s="13" t="str">
        <f t="shared" si="38"/>
        <v>2024-12</v>
      </c>
    </row>
    <row r="1265" spans="1:6" x14ac:dyDescent="0.2">
      <c r="A1265" s="2">
        <v>45650</v>
      </c>
      <c r="B1265" s="1" t="s">
        <v>582</v>
      </c>
      <c r="C1265" s="1" t="s">
        <v>297</v>
      </c>
      <c r="D1265" s="4">
        <v>350</v>
      </c>
      <c r="E1265" t="str">
        <f t="shared" si="39"/>
        <v>Direct</v>
      </c>
      <c r="F1265" s="13" t="str">
        <f t="shared" si="38"/>
        <v>2024-12</v>
      </c>
    </row>
    <row r="1266" spans="1:6" x14ac:dyDescent="0.2">
      <c r="A1266" s="2">
        <v>45652</v>
      </c>
      <c r="B1266" s="1" t="s">
        <v>584</v>
      </c>
      <c r="C1266" s="1" t="s">
        <v>295</v>
      </c>
      <c r="D1266" s="4">
        <v>500</v>
      </c>
      <c r="E1266" t="str">
        <f t="shared" si="39"/>
        <v>Direct</v>
      </c>
      <c r="F1266" s="13" t="str">
        <f t="shared" si="38"/>
        <v>2024-12</v>
      </c>
    </row>
    <row r="1267" spans="1:6" x14ac:dyDescent="0.2">
      <c r="A1267" s="2">
        <v>45652</v>
      </c>
      <c r="B1267" s="1" t="s">
        <v>260</v>
      </c>
      <c r="C1267" s="1" t="s">
        <v>994</v>
      </c>
      <c r="D1267" s="4">
        <v>700</v>
      </c>
      <c r="E1267" t="str">
        <f t="shared" si="39"/>
        <v>Shared</v>
      </c>
      <c r="F1267" s="13" t="str">
        <f t="shared" si="38"/>
        <v>2024-12</v>
      </c>
    </row>
    <row r="1268" spans="1:6" x14ac:dyDescent="0.2">
      <c r="A1268" s="2">
        <v>45653</v>
      </c>
      <c r="B1268" s="1" t="s">
        <v>614</v>
      </c>
      <c r="C1268" s="1" t="s">
        <v>295</v>
      </c>
      <c r="D1268" s="4">
        <v>150</v>
      </c>
      <c r="E1268" t="str">
        <f t="shared" si="39"/>
        <v>Direct</v>
      </c>
      <c r="F1268" s="13" t="str">
        <f t="shared" si="38"/>
        <v>2024-12</v>
      </c>
    </row>
    <row r="1269" spans="1:6" x14ac:dyDescent="0.2">
      <c r="A1269" s="2">
        <v>45656</v>
      </c>
      <c r="B1269" s="1" t="s">
        <v>226</v>
      </c>
      <c r="C1269" s="1" t="s">
        <v>994</v>
      </c>
      <c r="D1269" s="4">
        <v>300</v>
      </c>
      <c r="E1269" t="str">
        <f t="shared" si="39"/>
        <v>Shared</v>
      </c>
      <c r="F1269" s="13" t="str">
        <f t="shared" si="38"/>
        <v>2024-12</v>
      </c>
    </row>
    <row r="1270" spans="1:6" x14ac:dyDescent="0.2">
      <c r="A1270" s="2">
        <v>45656</v>
      </c>
      <c r="B1270" s="1" t="s">
        <v>584</v>
      </c>
      <c r="C1270" s="1" t="s">
        <v>296</v>
      </c>
      <c r="D1270" s="4">
        <v>400</v>
      </c>
      <c r="E1270" t="str">
        <f t="shared" si="39"/>
        <v>Direct</v>
      </c>
      <c r="F1270" s="13" t="str">
        <f t="shared" si="38"/>
        <v>2024-12</v>
      </c>
    </row>
    <row r="1271" spans="1:6" x14ac:dyDescent="0.2">
      <c r="A1271" s="2">
        <v>45656</v>
      </c>
      <c r="B1271" s="1" t="s">
        <v>584</v>
      </c>
      <c r="C1271" s="1" t="s">
        <v>295</v>
      </c>
      <c r="D1271" s="4">
        <v>400</v>
      </c>
      <c r="E1271" t="str">
        <f t="shared" si="39"/>
        <v>Direct</v>
      </c>
      <c r="F1271" s="13" t="str">
        <f t="shared" si="38"/>
        <v>2024-12</v>
      </c>
    </row>
    <row r="1272" spans="1:6" x14ac:dyDescent="0.2">
      <c r="A1272" s="2">
        <v>45660</v>
      </c>
      <c r="B1272" s="1" t="s">
        <v>615</v>
      </c>
      <c r="C1272" s="1" t="s">
        <v>297</v>
      </c>
      <c r="D1272" s="4">
        <v>550</v>
      </c>
      <c r="E1272" t="str">
        <f t="shared" si="39"/>
        <v>Direct</v>
      </c>
      <c r="F1272" s="13" t="str">
        <f t="shared" si="38"/>
        <v>2025-01</v>
      </c>
    </row>
    <row r="1273" spans="1:6" x14ac:dyDescent="0.2">
      <c r="A1273" s="2">
        <v>45660</v>
      </c>
      <c r="B1273" s="1" t="s">
        <v>584</v>
      </c>
      <c r="C1273" s="1" t="s">
        <v>295</v>
      </c>
      <c r="D1273" s="4">
        <v>350</v>
      </c>
      <c r="E1273" t="str">
        <f t="shared" si="39"/>
        <v>Direct</v>
      </c>
      <c r="F1273" s="13" t="str">
        <f t="shared" si="38"/>
        <v>2025-01</v>
      </c>
    </row>
    <row r="1274" spans="1:6" x14ac:dyDescent="0.2">
      <c r="A1274" s="2">
        <v>45661</v>
      </c>
      <c r="B1274" s="1" t="s">
        <v>616</v>
      </c>
      <c r="C1274" s="1" t="s">
        <v>295</v>
      </c>
      <c r="D1274" s="4">
        <v>800</v>
      </c>
      <c r="E1274" t="str">
        <f t="shared" si="39"/>
        <v>Direct</v>
      </c>
      <c r="F1274" s="13" t="str">
        <f t="shared" si="38"/>
        <v>2025-01</v>
      </c>
    </row>
    <row r="1275" spans="1:6" x14ac:dyDescent="0.2">
      <c r="A1275" s="2">
        <v>45661</v>
      </c>
      <c r="B1275" s="1" t="s">
        <v>183</v>
      </c>
      <c r="C1275" s="1" t="s">
        <v>994</v>
      </c>
      <c r="D1275" s="4">
        <v>5000</v>
      </c>
      <c r="E1275" t="str">
        <f t="shared" si="39"/>
        <v>Shared</v>
      </c>
      <c r="F1275" s="13" t="str">
        <f t="shared" si="38"/>
        <v>2025-01</v>
      </c>
    </row>
    <row r="1276" spans="1:6" x14ac:dyDescent="0.2">
      <c r="A1276" s="2">
        <v>45662</v>
      </c>
      <c r="B1276" s="1" t="s">
        <v>617</v>
      </c>
      <c r="C1276" s="1" t="s">
        <v>295</v>
      </c>
      <c r="D1276" s="4">
        <v>100</v>
      </c>
      <c r="E1276" t="str">
        <f t="shared" si="39"/>
        <v>Direct</v>
      </c>
      <c r="F1276" s="13" t="str">
        <f t="shared" si="38"/>
        <v>2025-01</v>
      </c>
    </row>
    <row r="1277" spans="1:6" x14ac:dyDescent="0.2">
      <c r="A1277" s="2">
        <v>45662</v>
      </c>
      <c r="B1277" s="1" t="s">
        <v>9</v>
      </c>
      <c r="C1277" s="1" t="s">
        <v>295</v>
      </c>
      <c r="D1277" s="4">
        <v>360</v>
      </c>
      <c r="E1277" t="str">
        <f t="shared" si="39"/>
        <v>Direct</v>
      </c>
      <c r="F1277" s="13" t="str">
        <f t="shared" si="38"/>
        <v>2025-01</v>
      </c>
    </row>
    <row r="1278" spans="1:6" x14ac:dyDescent="0.2">
      <c r="A1278" s="2">
        <v>45663</v>
      </c>
      <c r="B1278" s="1" t="s">
        <v>618</v>
      </c>
      <c r="C1278" s="1" t="s">
        <v>295</v>
      </c>
      <c r="D1278" s="4">
        <v>9900</v>
      </c>
      <c r="E1278" t="str">
        <f t="shared" si="39"/>
        <v>Direct</v>
      </c>
      <c r="F1278" s="13" t="str">
        <f t="shared" si="38"/>
        <v>2025-01</v>
      </c>
    </row>
    <row r="1279" spans="1:6" x14ac:dyDescent="0.2">
      <c r="A1279" s="2">
        <v>45663</v>
      </c>
      <c r="B1279" s="1" t="s">
        <v>222</v>
      </c>
      <c r="C1279" s="1" t="s">
        <v>994</v>
      </c>
      <c r="D1279" s="4">
        <v>150</v>
      </c>
      <c r="E1279" t="str">
        <f t="shared" si="39"/>
        <v>Shared</v>
      </c>
      <c r="F1279" s="13" t="str">
        <f t="shared" si="38"/>
        <v>2025-01</v>
      </c>
    </row>
    <row r="1280" spans="1:6" x14ac:dyDescent="0.2">
      <c r="A1280" s="2">
        <v>45664</v>
      </c>
      <c r="B1280" s="1" t="s">
        <v>584</v>
      </c>
      <c r="C1280" s="1" t="s">
        <v>296</v>
      </c>
      <c r="D1280" s="4">
        <v>300</v>
      </c>
      <c r="E1280" t="str">
        <f t="shared" si="39"/>
        <v>Direct</v>
      </c>
      <c r="F1280" s="13" t="str">
        <f t="shared" si="38"/>
        <v>2025-01</v>
      </c>
    </row>
    <row r="1281" spans="1:6" x14ac:dyDescent="0.2">
      <c r="A1281" s="24">
        <v>45664</v>
      </c>
      <c r="B1281" s="1" t="s">
        <v>985</v>
      </c>
      <c r="C1281" s="1" t="s">
        <v>295</v>
      </c>
      <c r="D1281" s="4">
        <v>23940</v>
      </c>
      <c r="E1281" t="str">
        <f t="shared" si="39"/>
        <v>Direct</v>
      </c>
      <c r="F1281" s="13" t="str">
        <f t="shared" si="38"/>
        <v>2025-01</v>
      </c>
    </row>
    <row r="1282" spans="1:6" x14ac:dyDescent="0.2">
      <c r="A1282" s="24">
        <v>45664</v>
      </c>
      <c r="B1282" s="1" t="s">
        <v>985</v>
      </c>
      <c r="C1282" s="1" t="s">
        <v>297</v>
      </c>
      <c r="D1282" s="4">
        <v>23940</v>
      </c>
      <c r="E1282" t="str">
        <f t="shared" si="39"/>
        <v>Direct</v>
      </c>
      <c r="F1282" s="13" t="str">
        <f t="shared" ref="F1282:F1345" si="40">YEAR(A1282)&amp;"-"&amp;TEXT(MONTH(A1282),"00")</f>
        <v>2025-01</v>
      </c>
    </row>
    <row r="1283" spans="1:6" x14ac:dyDescent="0.2">
      <c r="A1283" s="2">
        <v>45665</v>
      </c>
      <c r="B1283" s="1" t="s">
        <v>261</v>
      </c>
      <c r="C1283" s="1" t="s">
        <v>994</v>
      </c>
      <c r="D1283" s="4">
        <v>900</v>
      </c>
      <c r="E1283" t="str">
        <f t="shared" ref="E1283:E1346" si="41">IF(OR(C1283="A302", C1283="B303", C1283="C301"), "Direct", "Shared")</f>
        <v>Shared</v>
      </c>
      <c r="F1283" s="13" t="str">
        <f t="shared" si="40"/>
        <v>2025-01</v>
      </c>
    </row>
    <row r="1284" spans="1:6" x14ac:dyDescent="0.2">
      <c r="A1284" s="2">
        <v>45665</v>
      </c>
      <c r="B1284" s="1" t="s">
        <v>9</v>
      </c>
      <c r="C1284" s="1" t="s">
        <v>295</v>
      </c>
      <c r="D1284" s="4">
        <v>450</v>
      </c>
      <c r="E1284" t="str">
        <f t="shared" si="41"/>
        <v>Direct</v>
      </c>
      <c r="F1284" s="13" t="str">
        <f t="shared" si="40"/>
        <v>2025-01</v>
      </c>
    </row>
    <row r="1285" spans="1:6" x14ac:dyDescent="0.2">
      <c r="A1285" s="2">
        <v>45666</v>
      </c>
      <c r="B1285" s="1" t="s">
        <v>619</v>
      </c>
      <c r="C1285" s="1" t="s">
        <v>295</v>
      </c>
      <c r="D1285" s="4">
        <v>500</v>
      </c>
      <c r="E1285" t="str">
        <f t="shared" si="41"/>
        <v>Direct</v>
      </c>
      <c r="F1285" s="13" t="str">
        <f t="shared" si="40"/>
        <v>2025-01</v>
      </c>
    </row>
    <row r="1286" spans="1:6" x14ac:dyDescent="0.2">
      <c r="A1286" s="2">
        <v>45666</v>
      </c>
      <c r="B1286" s="1" t="s">
        <v>9</v>
      </c>
      <c r="C1286" s="1" t="s">
        <v>296</v>
      </c>
      <c r="D1286" s="4">
        <v>450</v>
      </c>
      <c r="E1286" t="str">
        <f t="shared" si="41"/>
        <v>Direct</v>
      </c>
      <c r="F1286" s="13" t="str">
        <f t="shared" si="40"/>
        <v>2025-01</v>
      </c>
    </row>
    <row r="1287" spans="1:6" x14ac:dyDescent="0.2">
      <c r="A1287" s="2">
        <v>45669</v>
      </c>
      <c r="B1287" s="1" t="s">
        <v>985</v>
      </c>
      <c r="C1287" s="1" t="s">
        <v>296</v>
      </c>
      <c r="D1287" s="4">
        <v>11000</v>
      </c>
      <c r="E1287" t="str">
        <f t="shared" si="41"/>
        <v>Direct</v>
      </c>
      <c r="F1287" s="13" t="str">
        <f t="shared" si="40"/>
        <v>2025-01</v>
      </c>
    </row>
    <row r="1288" spans="1:6" x14ac:dyDescent="0.2">
      <c r="A1288" s="2">
        <v>45670</v>
      </c>
      <c r="B1288" s="1" t="s">
        <v>620</v>
      </c>
      <c r="C1288" s="1" t="s">
        <v>296</v>
      </c>
      <c r="D1288" s="4">
        <v>1400</v>
      </c>
      <c r="E1288" t="str">
        <f t="shared" si="41"/>
        <v>Direct</v>
      </c>
      <c r="F1288" s="13" t="str">
        <f t="shared" si="40"/>
        <v>2025-01</v>
      </c>
    </row>
    <row r="1289" spans="1:6" x14ac:dyDescent="0.2">
      <c r="A1289" s="2">
        <v>45671</v>
      </c>
      <c r="B1289" s="1" t="s">
        <v>226</v>
      </c>
      <c r="C1289" s="1" t="s">
        <v>994</v>
      </c>
      <c r="D1289" s="4">
        <v>260</v>
      </c>
      <c r="E1289" t="str">
        <f t="shared" si="41"/>
        <v>Shared</v>
      </c>
      <c r="F1289" s="13" t="str">
        <f t="shared" si="40"/>
        <v>2025-01</v>
      </c>
    </row>
    <row r="1290" spans="1:6" x14ac:dyDescent="0.2">
      <c r="A1290" s="2">
        <v>45671</v>
      </c>
      <c r="B1290" s="1" t="s">
        <v>621</v>
      </c>
      <c r="C1290" s="1" t="s">
        <v>295</v>
      </c>
      <c r="D1290" s="4">
        <v>700</v>
      </c>
      <c r="E1290" t="str">
        <f t="shared" si="41"/>
        <v>Direct</v>
      </c>
      <c r="F1290" s="13" t="str">
        <f t="shared" si="40"/>
        <v>2025-01</v>
      </c>
    </row>
    <row r="1291" spans="1:6" x14ac:dyDescent="0.2">
      <c r="A1291" s="2">
        <v>45671</v>
      </c>
      <c r="B1291" s="1" t="s">
        <v>622</v>
      </c>
      <c r="C1291" s="1" t="s">
        <v>295</v>
      </c>
      <c r="D1291" s="4">
        <v>2200</v>
      </c>
      <c r="E1291" t="str">
        <f t="shared" si="41"/>
        <v>Direct</v>
      </c>
      <c r="F1291" s="13" t="str">
        <f t="shared" si="40"/>
        <v>2025-01</v>
      </c>
    </row>
    <row r="1292" spans="1:6" x14ac:dyDescent="0.2">
      <c r="A1292" s="2">
        <v>45679</v>
      </c>
      <c r="B1292" s="1" t="s">
        <v>623</v>
      </c>
      <c r="C1292" s="1" t="s">
        <v>295</v>
      </c>
      <c r="D1292" s="4">
        <v>300</v>
      </c>
      <c r="E1292" t="str">
        <f t="shared" si="41"/>
        <v>Direct</v>
      </c>
      <c r="F1292" s="13" t="str">
        <f t="shared" si="40"/>
        <v>2025-01</v>
      </c>
    </row>
    <row r="1293" spans="1:6" x14ac:dyDescent="0.2">
      <c r="A1293" s="2">
        <v>45679</v>
      </c>
      <c r="B1293" s="1" t="s">
        <v>624</v>
      </c>
      <c r="C1293" s="1" t="s">
        <v>295</v>
      </c>
      <c r="D1293" s="4">
        <v>700</v>
      </c>
      <c r="E1293" t="str">
        <f t="shared" si="41"/>
        <v>Direct</v>
      </c>
      <c r="F1293" s="13" t="str">
        <f t="shared" si="40"/>
        <v>2025-01</v>
      </c>
    </row>
    <row r="1294" spans="1:6" x14ac:dyDescent="0.2">
      <c r="A1294" s="2">
        <v>45679</v>
      </c>
      <c r="B1294" s="1" t="s">
        <v>262</v>
      </c>
      <c r="C1294" s="1" t="s">
        <v>994</v>
      </c>
      <c r="D1294" s="4">
        <v>400</v>
      </c>
      <c r="E1294" t="str">
        <f t="shared" si="41"/>
        <v>Shared</v>
      </c>
      <c r="F1294" s="13" t="str">
        <f t="shared" si="40"/>
        <v>2025-01</v>
      </c>
    </row>
    <row r="1295" spans="1:6" x14ac:dyDescent="0.2">
      <c r="A1295" s="2">
        <v>45683</v>
      </c>
      <c r="B1295" s="1" t="s">
        <v>625</v>
      </c>
      <c r="C1295" s="1" t="s">
        <v>295</v>
      </c>
      <c r="D1295" s="4">
        <v>1200</v>
      </c>
      <c r="E1295" t="str">
        <f t="shared" si="41"/>
        <v>Direct</v>
      </c>
      <c r="F1295" s="13" t="str">
        <f t="shared" si="40"/>
        <v>2025-01</v>
      </c>
    </row>
    <row r="1296" spans="1:6" x14ac:dyDescent="0.2">
      <c r="A1296" s="2">
        <v>45684</v>
      </c>
      <c r="B1296" s="1" t="s">
        <v>628</v>
      </c>
      <c r="C1296" s="1" t="s">
        <v>295</v>
      </c>
      <c r="D1296" s="4">
        <v>900</v>
      </c>
      <c r="E1296" t="str">
        <f t="shared" si="41"/>
        <v>Direct</v>
      </c>
      <c r="F1296" s="13" t="str">
        <f t="shared" si="40"/>
        <v>2025-01</v>
      </c>
    </row>
    <row r="1297" spans="1:6" x14ac:dyDescent="0.2">
      <c r="A1297" s="2">
        <v>45686</v>
      </c>
      <c r="B1297" s="1" t="s">
        <v>626</v>
      </c>
      <c r="C1297" s="1" t="s">
        <v>295</v>
      </c>
      <c r="D1297" s="4">
        <v>1500</v>
      </c>
      <c r="E1297" t="str">
        <f t="shared" si="41"/>
        <v>Direct</v>
      </c>
      <c r="F1297" s="13" t="str">
        <f t="shared" si="40"/>
        <v>2025-01</v>
      </c>
    </row>
    <row r="1298" spans="1:6" x14ac:dyDescent="0.2">
      <c r="A1298" s="2">
        <v>45686</v>
      </c>
      <c r="B1298" s="1" t="s">
        <v>584</v>
      </c>
      <c r="C1298" s="1" t="s">
        <v>295</v>
      </c>
      <c r="D1298" s="4">
        <v>400</v>
      </c>
      <c r="E1298" t="str">
        <f t="shared" si="41"/>
        <v>Direct</v>
      </c>
      <c r="F1298" s="13" t="str">
        <f t="shared" si="40"/>
        <v>2025-01</v>
      </c>
    </row>
    <row r="1299" spans="1:6" x14ac:dyDescent="0.2">
      <c r="A1299" s="2">
        <v>45688</v>
      </c>
      <c r="B1299" s="1" t="s">
        <v>9</v>
      </c>
      <c r="C1299" s="1" t="s">
        <v>994</v>
      </c>
      <c r="D1299" s="4">
        <v>600</v>
      </c>
      <c r="E1299" t="str">
        <f t="shared" si="41"/>
        <v>Shared</v>
      </c>
      <c r="F1299" s="13" t="str">
        <f t="shared" si="40"/>
        <v>2025-01</v>
      </c>
    </row>
    <row r="1300" spans="1:6" x14ac:dyDescent="0.2">
      <c r="A1300" s="2">
        <v>45688</v>
      </c>
      <c r="B1300" s="1" t="s">
        <v>627</v>
      </c>
      <c r="C1300" s="1" t="s">
        <v>297</v>
      </c>
      <c r="D1300" s="4">
        <v>550</v>
      </c>
      <c r="E1300" t="str">
        <f t="shared" si="41"/>
        <v>Direct</v>
      </c>
      <c r="F1300" s="13" t="str">
        <f t="shared" si="40"/>
        <v>2025-01</v>
      </c>
    </row>
    <row r="1301" spans="1:6" x14ac:dyDescent="0.2">
      <c r="A1301" s="2">
        <v>45692</v>
      </c>
      <c r="B1301" s="1" t="s">
        <v>9</v>
      </c>
      <c r="C1301" s="1" t="s">
        <v>295</v>
      </c>
      <c r="D1301" s="4">
        <v>600</v>
      </c>
      <c r="E1301" t="str">
        <f t="shared" si="41"/>
        <v>Direct</v>
      </c>
      <c r="F1301" s="13" t="str">
        <f t="shared" si="40"/>
        <v>2025-02</v>
      </c>
    </row>
    <row r="1302" spans="1:6" x14ac:dyDescent="0.2">
      <c r="A1302" s="2">
        <v>45693</v>
      </c>
      <c r="B1302" s="1" t="s">
        <v>629</v>
      </c>
      <c r="C1302" s="1" t="s">
        <v>297</v>
      </c>
      <c r="D1302" s="4">
        <v>400</v>
      </c>
      <c r="E1302" t="str">
        <f t="shared" si="41"/>
        <v>Direct</v>
      </c>
      <c r="F1302" s="13" t="str">
        <f t="shared" si="40"/>
        <v>2025-02</v>
      </c>
    </row>
    <row r="1303" spans="1:6" x14ac:dyDescent="0.2">
      <c r="A1303" s="2">
        <v>45694</v>
      </c>
      <c r="B1303" s="1" t="s">
        <v>9</v>
      </c>
      <c r="C1303" s="1" t="s">
        <v>295</v>
      </c>
      <c r="D1303" s="4">
        <v>310</v>
      </c>
      <c r="E1303" t="str">
        <f t="shared" si="41"/>
        <v>Direct</v>
      </c>
      <c r="F1303" s="13" t="str">
        <f t="shared" si="40"/>
        <v>2025-02</v>
      </c>
    </row>
    <row r="1304" spans="1:6" x14ac:dyDescent="0.2">
      <c r="A1304" s="2">
        <v>45694</v>
      </c>
      <c r="B1304" s="1" t="s">
        <v>635</v>
      </c>
      <c r="C1304" s="1" t="s">
        <v>297</v>
      </c>
      <c r="D1304" s="4">
        <v>7000</v>
      </c>
      <c r="E1304" t="str">
        <f t="shared" si="41"/>
        <v>Direct</v>
      </c>
      <c r="F1304" s="13" t="str">
        <f t="shared" si="40"/>
        <v>2025-02</v>
      </c>
    </row>
    <row r="1305" spans="1:6" x14ac:dyDescent="0.2">
      <c r="A1305" s="2">
        <v>45694</v>
      </c>
      <c r="B1305" s="1" t="s">
        <v>636</v>
      </c>
      <c r="C1305" s="1" t="s">
        <v>297</v>
      </c>
      <c r="D1305" s="4">
        <v>1600</v>
      </c>
      <c r="E1305" t="str">
        <f t="shared" si="41"/>
        <v>Direct</v>
      </c>
      <c r="F1305" s="13" t="str">
        <f t="shared" si="40"/>
        <v>2025-02</v>
      </c>
    </row>
    <row r="1306" spans="1:6" x14ac:dyDescent="0.2">
      <c r="A1306" s="2">
        <v>45695</v>
      </c>
      <c r="B1306" s="1" t="s">
        <v>263</v>
      </c>
      <c r="C1306" s="1" t="s">
        <v>994</v>
      </c>
      <c r="D1306" s="4">
        <v>1340</v>
      </c>
      <c r="E1306" t="str">
        <f t="shared" si="41"/>
        <v>Shared</v>
      </c>
      <c r="F1306" s="13" t="str">
        <f t="shared" si="40"/>
        <v>2025-02</v>
      </c>
    </row>
    <row r="1307" spans="1:6" x14ac:dyDescent="0.2">
      <c r="A1307" s="2">
        <v>45695</v>
      </c>
      <c r="B1307" s="1" t="s">
        <v>9</v>
      </c>
      <c r="C1307" s="1" t="s">
        <v>994</v>
      </c>
      <c r="D1307" s="4">
        <v>610</v>
      </c>
      <c r="E1307" t="str">
        <f t="shared" si="41"/>
        <v>Shared</v>
      </c>
      <c r="F1307" s="13" t="str">
        <f t="shared" si="40"/>
        <v>2025-02</v>
      </c>
    </row>
    <row r="1308" spans="1:6" x14ac:dyDescent="0.2">
      <c r="A1308" s="24">
        <v>45695</v>
      </c>
      <c r="B1308" s="1" t="s">
        <v>985</v>
      </c>
      <c r="C1308" s="1" t="s">
        <v>295</v>
      </c>
      <c r="D1308" s="4">
        <v>20417</v>
      </c>
      <c r="E1308" t="str">
        <f t="shared" si="41"/>
        <v>Direct</v>
      </c>
      <c r="F1308" s="13" t="str">
        <f t="shared" si="40"/>
        <v>2025-02</v>
      </c>
    </row>
    <row r="1309" spans="1:6" x14ac:dyDescent="0.2">
      <c r="A1309" s="24">
        <v>45695</v>
      </c>
      <c r="B1309" s="1" t="s">
        <v>985</v>
      </c>
      <c r="C1309" s="1" t="s">
        <v>297</v>
      </c>
      <c r="D1309" s="4">
        <v>20417</v>
      </c>
      <c r="E1309" t="str">
        <f t="shared" si="41"/>
        <v>Direct</v>
      </c>
      <c r="F1309" s="13" t="str">
        <f t="shared" si="40"/>
        <v>2025-02</v>
      </c>
    </row>
    <row r="1310" spans="1:6" x14ac:dyDescent="0.2">
      <c r="A1310" s="2">
        <v>45696</v>
      </c>
      <c r="B1310" s="1" t="s">
        <v>222</v>
      </c>
      <c r="C1310" s="1" t="s">
        <v>994</v>
      </c>
      <c r="D1310" s="4">
        <v>250</v>
      </c>
      <c r="E1310" t="str">
        <f t="shared" si="41"/>
        <v>Shared</v>
      </c>
      <c r="F1310" s="13" t="str">
        <f t="shared" si="40"/>
        <v>2025-02</v>
      </c>
    </row>
    <row r="1311" spans="1:6" x14ac:dyDescent="0.2">
      <c r="A1311" s="2">
        <v>45697</v>
      </c>
      <c r="B1311" s="1" t="s">
        <v>629</v>
      </c>
      <c r="C1311" s="1" t="s">
        <v>295</v>
      </c>
      <c r="D1311" s="4">
        <v>400</v>
      </c>
      <c r="E1311" t="str">
        <f t="shared" si="41"/>
        <v>Direct</v>
      </c>
      <c r="F1311" s="13" t="str">
        <f t="shared" si="40"/>
        <v>2025-02</v>
      </c>
    </row>
    <row r="1312" spans="1:6" x14ac:dyDescent="0.2">
      <c r="A1312" s="2">
        <v>45700</v>
      </c>
      <c r="B1312" s="1" t="s">
        <v>985</v>
      </c>
      <c r="C1312" s="1" t="s">
        <v>296</v>
      </c>
      <c r="D1312" s="4">
        <v>11000</v>
      </c>
      <c r="E1312" t="str">
        <f t="shared" si="41"/>
        <v>Direct</v>
      </c>
      <c r="F1312" s="13" t="str">
        <f t="shared" si="40"/>
        <v>2025-02</v>
      </c>
    </row>
    <row r="1313" spans="1:6" x14ac:dyDescent="0.2">
      <c r="A1313" s="2">
        <v>45702</v>
      </c>
      <c r="B1313" s="1" t="s">
        <v>630</v>
      </c>
      <c r="C1313" s="1" t="s">
        <v>297</v>
      </c>
      <c r="D1313" s="4">
        <v>350</v>
      </c>
      <c r="E1313" t="str">
        <f t="shared" si="41"/>
        <v>Direct</v>
      </c>
      <c r="F1313" s="13" t="str">
        <f t="shared" si="40"/>
        <v>2025-02</v>
      </c>
    </row>
    <row r="1314" spans="1:6" x14ac:dyDescent="0.2">
      <c r="A1314" s="2">
        <v>45704</v>
      </c>
      <c r="B1314" s="1" t="s">
        <v>264</v>
      </c>
      <c r="C1314" s="1" t="s">
        <v>994</v>
      </c>
      <c r="D1314" s="4">
        <v>3120</v>
      </c>
      <c r="E1314" t="str">
        <f t="shared" si="41"/>
        <v>Shared</v>
      </c>
      <c r="F1314" s="13" t="str">
        <f t="shared" si="40"/>
        <v>2025-02</v>
      </c>
    </row>
    <row r="1315" spans="1:6" x14ac:dyDescent="0.2">
      <c r="A1315" s="2">
        <v>45704</v>
      </c>
      <c r="B1315" s="1" t="s">
        <v>631</v>
      </c>
      <c r="C1315" s="1" t="s">
        <v>296</v>
      </c>
      <c r="D1315" s="4">
        <v>350</v>
      </c>
      <c r="E1315" t="str">
        <f t="shared" si="41"/>
        <v>Direct</v>
      </c>
      <c r="F1315" s="13" t="str">
        <f t="shared" si="40"/>
        <v>2025-02</v>
      </c>
    </row>
    <row r="1316" spans="1:6" x14ac:dyDescent="0.2">
      <c r="A1316" s="2">
        <v>45706</v>
      </c>
      <c r="B1316" s="1" t="s">
        <v>265</v>
      </c>
      <c r="C1316" s="1" t="s">
        <v>994</v>
      </c>
      <c r="D1316" s="4">
        <v>120</v>
      </c>
      <c r="E1316" t="str">
        <f t="shared" si="41"/>
        <v>Shared</v>
      </c>
      <c r="F1316" s="13" t="str">
        <f t="shared" si="40"/>
        <v>2025-02</v>
      </c>
    </row>
    <row r="1317" spans="1:6" x14ac:dyDescent="0.2">
      <c r="A1317" s="2">
        <v>45707</v>
      </c>
      <c r="B1317" s="1" t="s">
        <v>632</v>
      </c>
      <c r="C1317" s="1" t="s">
        <v>296</v>
      </c>
      <c r="D1317" s="4">
        <v>900</v>
      </c>
      <c r="E1317" t="str">
        <f t="shared" si="41"/>
        <v>Direct</v>
      </c>
      <c r="F1317" s="13" t="str">
        <f t="shared" si="40"/>
        <v>2025-02</v>
      </c>
    </row>
    <row r="1318" spans="1:6" x14ac:dyDescent="0.2">
      <c r="A1318" s="2">
        <v>45709</v>
      </c>
      <c r="B1318" s="1" t="s">
        <v>298</v>
      </c>
      <c r="C1318" s="1" t="s">
        <v>296</v>
      </c>
      <c r="D1318" s="4">
        <v>350</v>
      </c>
      <c r="E1318" t="str">
        <f t="shared" si="41"/>
        <v>Direct</v>
      </c>
      <c r="F1318" s="13" t="str">
        <f t="shared" si="40"/>
        <v>2025-02</v>
      </c>
    </row>
    <row r="1319" spans="1:6" x14ac:dyDescent="0.2">
      <c r="A1319" s="2">
        <v>45710</v>
      </c>
      <c r="B1319" s="1" t="s">
        <v>633</v>
      </c>
      <c r="C1319" s="1" t="s">
        <v>296</v>
      </c>
      <c r="D1319" s="4">
        <v>600</v>
      </c>
      <c r="E1319" t="str">
        <f t="shared" si="41"/>
        <v>Direct</v>
      </c>
      <c r="F1319" s="13" t="str">
        <f t="shared" si="40"/>
        <v>2025-02</v>
      </c>
    </row>
    <row r="1320" spans="1:6" x14ac:dyDescent="0.2">
      <c r="A1320" s="2">
        <v>45713</v>
      </c>
      <c r="B1320" s="1" t="s">
        <v>222</v>
      </c>
      <c r="C1320" s="1" t="s">
        <v>994</v>
      </c>
      <c r="D1320" s="4">
        <v>400</v>
      </c>
      <c r="E1320" t="str">
        <f t="shared" si="41"/>
        <v>Shared</v>
      </c>
      <c r="F1320" s="13" t="str">
        <f t="shared" si="40"/>
        <v>2025-02</v>
      </c>
    </row>
    <row r="1321" spans="1:6" x14ac:dyDescent="0.2">
      <c r="A1321" s="2">
        <v>45714</v>
      </c>
      <c r="B1321" s="1" t="s">
        <v>634</v>
      </c>
      <c r="C1321" s="1" t="s">
        <v>295</v>
      </c>
      <c r="D1321" s="4">
        <v>400</v>
      </c>
      <c r="E1321" t="str">
        <f t="shared" si="41"/>
        <v>Direct</v>
      </c>
      <c r="F1321" s="13" t="str">
        <f t="shared" si="40"/>
        <v>2025-02</v>
      </c>
    </row>
    <row r="1322" spans="1:6" x14ac:dyDescent="0.2">
      <c r="A1322" s="2">
        <v>45715</v>
      </c>
      <c r="B1322" s="1" t="s">
        <v>634</v>
      </c>
      <c r="C1322" s="1" t="s">
        <v>297</v>
      </c>
      <c r="D1322" s="4">
        <v>400</v>
      </c>
      <c r="E1322" t="str">
        <f t="shared" si="41"/>
        <v>Direct</v>
      </c>
      <c r="F1322" s="13" t="str">
        <f t="shared" si="40"/>
        <v>2025-02</v>
      </c>
    </row>
    <row r="1323" spans="1:6" x14ac:dyDescent="0.2">
      <c r="A1323" s="2">
        <v>45716</v>
      </c>
      <c r="B1323" s="1" t="s">
        <v>634</v>
      </c>
      <c r="C1323" s="1" t="s">
        <v>296</v>
      </c>
      <c r="D1323" s="4">
        <v>300</v>
      </c>
      <c r="E1323" t="str">
        <f t="shared" si="41"/>
        <v>Direct</v>
      </c>
      <c r="F1323" s="13" t="str">
        <f t="shared" si="40"/>
        <v>2025-02</v>
      </c>
    </row>
    <row r="1324" spans="1:6" x14ac:dyDescent="0.2">
      <c r="A1324" s="2">
        <v>45717</v>
      </c>
      <c r="B1324" s="1" t="s">
        <v>403</v>
      </c>
      <c r="C1324" s="1" t="s">
        <v>295</v>
      </c>
      <c r="D1324" s="4">
        <v>150</v>
      </c>
      <c r="E1324" t="str">
        <f t="shared" si="41"/>
        <v>Direct</v>
      </c>
      <c r="F1324" s="13" t="str">
        <f t="shared" si="40"/>
        <v>2025-03</v>
      </c>
    </row>
    <row r="1325" spans="1:6" x14ac:dyDescent="0.2">
      <c r="A1325" s="2">
        <v>45722</v>
      </c>
      <c r="B1325" s="1" t="s">
        <v>633</v>
      </c>
      <c r="C1325" s="1" t="s">
        <v>295</v>
      </c>
      <c r="D1325" s="4">
        <v>1100</v>
      </c>
      <c r="E1325" t="str">
        <f t="shared" si="41"/>
        <v>Direct</v>
      </c>
      <c r="F1325" s="13" t="str">
        <f t="shared" si="40"/>
        <v>2025-03</v>
      </c>
    </row>
    <row r="1326" spans="1:6" x14ac:dyDescent="0.2">
      <c r="A1326" s="2">
        <v>45723</v>
      </c>
      <c r="B1326" s="1" t="s">
        <v>637</v>
      </c>
      <c r="C1326" s="1" t="s">
        <v>297</v>
      </c>
      <c r="D1326" s="4">
        <v>900</v>
      </c>
      <c r="E1326" t="str">
        <f t="shared" si="41"/>
        <v>Direct</v>
      </c>
      <c r="F1326" s="13" t="str">
        <f t="shared" si="40"/>
        <v>2025-03</v>
      </c>
    </row>
    <row r="1327" spans="1:6" x14ac:dyDescent="0.2">
      <c r="A1327" s="2">
        <v>45723</v>
      </c>
      <c r="B1327" s="1" t="s">
        <v>985</v>
      </c>
      <c r="C1327" s="1" t="s">
        <v>295</v>
      </c>
      <c r="D1327" s="4">
        <v>25642</v>
      </c>
      <c r="E1327" t="str">
        <f t="shared" si="41"/>
        <v>Direct</v>
      </c>
      <c r="F1327" s="13" t="str">
        <f t="shared" si="40"/>
        <v>2025-03</v>
      </c>
    </row>
    <row r="1328" spans="1:6" x14ac:dyDescent="0.2">
      <c r="A1328" s="2">
        <v>45723</v>
      </c>
      <c r="B1328" s="1" t="s">
        <v>985</v>
      </c>
      <c r="C1328" s="1" t="s">
        <v>297</v>
      </c>
      <c r="D1328" s="4">
        <v>25642</v>
      </c>
      <c r="E1328" t="str">
        <f t="shared" si="41"/>
        <v>Direct</v>
      </c>
      <c r="F1328" s="13" t="str">
        <f t="shared" si="40"/>
        <v>2025-03</v>
      </c>
    </row>
    <row r="1329" spans="1:6" x14ac:dyDescent="0.2">
      <c r="A1329" s="2">
        <v>45726</v>
      </c>
      <c r="B1329" s="1" t="s">
        <v>638</v>
      </c>
      <c r="C1329" s="1" t="s">
        <v>295</v>
      </c>
      <c r="D1329" s="4">
        <v>500</v>
      </c>
      <c r="E1329" t="str">
        <f t="shared" si="41"/>
        <v>Direct</v>
      </c>
      <c r="F1329" s="13" t="str">
        <f t="shared" si="40"/>
        <v>2025-03</v>
      </c>
    </row>
    <row r="1330" spans="1:6" x14ac:dyDescent="0.2">
      <c r="A1330" s="2">
        <v>45726</v>
      </c>
      <c r="B1330" s="1" t="s">
        <v>639</v>
      </c>
      <c r="C1330" s="1" t="s">
        <v>297</v>
      </c>
      <c r="D1330" s="4">
        <v>2640</v>
      </c>
      <c r="E1330" t="str">
        <f t="shared" si="41"/>
        <v>Direct</v>
      </c>
      <c r="F1330" s="13" t="str">
        <f t="shared" si="40"/>
        <v>2025-03</v>
      </c>
    </row>
    <row r="1331" spans="1:6" x14ac:dyDescent="0.2">
      <c r="A1331" s="2">
        <v>45726</v>
      </c>
      <c r="B1331" s="1" t="s">
        <v>624</v>
      </c>
      <c r="C1331" s="1" t="s">
        <v>297</v>
      </c>
      <c r="D1331" s="4">
        <v>900</v>
      </c>
      <c r="E1331" t="str">
        <f t="shared" si="41"/>
        <v>Direct</v>
      </c>
      <c r="F1331" s="13" t="str">
        <f t="shared" si="40"/>
        <v>2025-03</v>
      </c>
    </row>
    <row r="1332" spans="1:6" x14ac:dyDescent="0.2">
      <c r="A1332" s="2">
        <v>45726</v>
      </c>
      <c r="B1332" s="1" t="s">
        <v>183</v>
      </c>
      <c r="C1332" s="1" t="s">
        <v>994</v>
      </c>
      <c r="D1332" s="4">
        <v>5000</v>
      </c>
      <c r="E1332" t="str">
        <f t="shared" si="41"/>
        <v>Shared</v>
      </c>
      <c r="F1332" s="13" t="str">
        <f t="shared" si="40"/>
        <v>2025-03</v>
      </c>
    </row>
    <row r="1333" spans="1:6" x14ac:dyDescent="0.2">
      <c r="A1333" s="2">
        <v>45728</v>
      </c>
      <c r="B1333" s="1" t="s">
        <v>1077</v>
      </c>
      <c r="C1333" s="1" t="s">
        <v>994</v>
      </c>
      <c r="D1333" s="4">
        <v>450</v>
      </c>
      <c r="E1333" t="str">
        <f t="shared" si="41"/>
        <v>Shared</v>
      </c>
      <c r="F1333" s="13" t="str">
        <f t="shared" si="40"/>
        <v>2025-03</v>
      </c>
    </row>
    <row r="1334" spans="1:6" x14ac:dyDescent="0.2">
      <c r="A1334" s="2">
        <v>45728</v>
      </c>
      <c r="B1334" s="1" t="s">
        <v>631</v>
      </c>
      <c r="C1334" s="1" t="s">
        <v>296</v>
      </c>
      <c r="D1334" s="4">
        <v>300</v>
      </c>
      <c r="E1334" t="str">
        <f t="shared" si="41"/>
        <v>Direct</v>
      </c>
      <c r="F1334" s="13" t="str">
        <f t="shared" si="40"/>
        <v>2025-03</v>
      </c>
    </row>
    <row r="1335" spans="1:6" x14ac:dyDescent="0.2">
      <c r="A1335" s="2">
        <v>45728</v>
      </c>
      <c r="B1335" s="1" t="s">
        <v>985</v>
      </c>
      <c r="C1335" s="1" t="s">
        <v>296</v>
      </c>
      <c r="D1335" s="4">
        <v>11000</v>
      </c>
      <c r="E1335" t="str">
        <f t="shared" si="41"/>
        <v>Direct</v>
      </c>
      <c r="F1335" s="13" t="str">
        <f t="shared" si="40"/>
        <v>2025-03</v>
      </c>
    </row>
    <row r="1336" spans="1:6" x14ac:dyDescent="0.2">
      <c r="A1336" s="2">
        <v>45731</v>
      </c>
      <c r="B1336" s="1" t="s">
        <v>9</v>
      </c>
      <c r="C1336" s="1" t="s">
        <v>296</v>
      </c>
      <c r="D1336" s="4">
        <v>550</v>
      </c>
      <c r="E1336" t="str">
        <f t="shared" si="41"/>
        <v>Direct</v>
      </c>
      <c r="F1336" s="13" t="str">
        <f t="shared" si="40"/>
        <v>2025-03</v>
      </c>
    </row>
    <row r="1337" spans="1:6" x14ac:dyDescent="0.2">
      <c r="A1337" s="2">
        <v>45733</v>
      </c>
      <c r="B1337" s="1" t="s">
        <v>631</v>
      </c>
      <c r="C1337" s="1" t="s">
        <v>296</v>
      </c>
      <c r="D1337" s="4">
        <v>300</v>
      </c>
      <c r="E1337" t="str">
        <f t="shared" si="41"/>
        <v>Direct</v>
      </c>
      <c r="F1337" s="13" t="str">
        <f t="shared" si="40"/>
        <v>2025-03</v>
      </c>
    </row>
    <row r="1338" spans="1:6" x14ac:dyDescent="0.2">
      <c r="A1338" s="2">
        <v>45734</v>
      </c>
      <c r="B1338" s="1" t="s">
        <v>633</v>
      </c>
      <c r="C1338" s="1" t="s">
        <v>295</v>
      </c>
      <c r="D1338" s="4">
        <v>990</v>
      </c>
      <c r="E1338" t="str">
        <f t="shared" si="41"/>
        <v>Direct</v>
      </c>
      <c r="F1338" s="13" t="str">
        <f t="shared" si="40"/>
        <v>2025-03</v>
      </c>
    </row>
    <row r="1339" spans="1:6" x14ac:dyDescent="0.2">
      <c r="A1339" s="2">
        <v>45734</v>
      </c>
      <c r="B1339" s="1" t="s">
        <v>631</v>
      </c>
      <c r="C1339" s="1" t="s">
        <v>295</v>
      </c>
      <c r="D1339" s="4">
        <v>400</v>
      </c>
      <c r="E1339" t="str">
        <f t="shared" si="41"/>
        <v>Direct</v>
      </c>
      <c r="F1339" s="13" t="str">
        <f t="shared" si="40"/>
        <v>2025-03</v>
      </c>
    </row>
    <row r="1340" spans="1:6" x14ac:dyDescent="0.2">
      <c r="A1340" s="2">
        <v>45737</v>
      </c>
      <c r="B1340" s="1" t="s">
        <v>314</v>
      </c>
      <c r="C1340" s="1" t="s">
        <v>297</v>
      </c>
      <c r="D1340" s="4">
        <v>2000</v>
      </c>
      <c r="E1340" t="str">
        <f t="shared" si="41"/>
        <v>Direct</v>
      </c>
      <c r="F1340" s="13" t="str">
        <f t="shared" si="40"/>
        <v>2025-03</v>
      </c>
    </row>
    <row r="1341" spans="1:6" x14ac:dyDescent="0.2">
      <c r="A1341" s="2">
        <v>45737</v>
      </c>
      <c r="B1341" s="1" t="s">
        <v>298</v>
      </c>
      <c r="C1341" s="1" t="s">
        <v>296</v>
      </c>
      <c r="D1341" s="4">
        <v>1100</v>
      </c>
      <c r="E1341" t="str">
        <f t="shared" si="41"/>
        <v>Direct</v>
      </c>
      <c r="F1341" s="13" t="str">
        <f t="shared" si="40"/>
        <v>2025-03</v>
      </c>
    </row>
    <row r="1342" spans="1:6" x14ac:dyDescent="0.2">
      <c r="A1342" s="2">
        <v>45737</v>
      </c>
      <c r="B1342" s="1" t="s">
        <v>9</v>
      </c>
      <c r="C1342" s="1" t="s">
        <v>297</v>
      </c>
      <c r="D1342" s="4">
        <v>600</v>
      </c>
      <c r="E1342" t="str">
        <f t="shared" si="41"/>
        <v>Direct</v>
      </c>
      <c r="F1342" s="13" t="str">
        <f t="shared" si="40"/>
        <v>2025-03</v>
      </c>
    </row>
    <row r="1343" spans="1:6" x14ac:dyDescent="0.2">
      <c r="A1343" s="2">
        <v>45739</v>
      </c>
      <c r="B1343" s="1" t="s">
        <v>384</v>
      </c>
      <c r="C1343" s="1" t="s">
        <v>295</v>
      </c>
      <c r="D1343" s="4">
        <v>1100</v>
      </c>
      <c r="E1343" t="str">
        <f t="shared" si="41"/>
        <v>Direct</v>
      </c>
      <c r="F1343" s="13" t="str">
        <f t="shared" si="40"/>
        <v>2025-03</v>
      </c>
    </row>
    <row r="1344" spans="1:6" x14ac:dyDescent="0.2">
      <c r="A1344" s="2">
        <v>45740</v>
      </c>
      <c r="B1344" s="1" t="s">
        <v>633</v>
      </c>
      <c r="C1344" s="1" t="s">
        <v>295</v>
      </c>
      <c r="D1344" s="4">
        <v>350</v>
      </c>
      <c r="E1344" t="str">
        <f t="shared" si="41"/>
        <v>Direct</v>
      </c>
      <c r="F1344" s="13" t="str">
        <f t="shared" si="40"/>
        <v>2025-03</v>
      </c>
    </row>
    <row r="1345" spans="1:6" x14ac:dyDescent="0.2">
      <c r="A1345" s="2">
        <v>45740</v>
      </c>
      <c r="B1345" s="1" t="s">
        <v>1078</v>
      </c>
      <c r="C1345" s="1" t="s">
        <v>994</v>
      </c>
      <c r="D1345" s="4">
        <v>500</v>
      </c>
      <c r="E1345" t="str">
        <f t="shared" si="41"/>
        <v>Shared</v>
      </c>
      <c r="F1345" s="13" t="str">
        <f t="shared" si="40"/>
        <v>2025-03</v>
      </c>
    </row>
    <row r="1346" spans="1:6" x14ac:dyDescent="0.2">
      <c r="A1346" s="2">
        <v>45747</v>
      </c>
      <c r="B1346" s="1" t="s">
        <v>363</v>
      </c>
      <c r="C1346" s="1" t="s">
        <v>295</v>
      </c>
      <c r="D1346" s="4">
        <v>800</v>
      </c>
      <c r="E1346" t="str">
        <f t="shared" si="41"/>
        <v>Direct</v>
      </c>
      <c r="F1346" s="13" t="str">
        <f t="shared" ref="F1346:F1409" si="42">YEAR(A1346)&amp;"-"&amp;TEXT(MONTH(A1346),"00")</f>
        <v>2025-03</v>
      </c>
    </row>
    <row r="1347" spans="1:6" x14ac:dyDescent="0.2">
      <c r="A1347" s="2">
        <v>45747</v>
      </c>
      <c r="B1347" s="1" t="s">
        <v>366</v>
      </c>
      <c r="C1347" s="1" t="s">
        <v>295</v>
      </c>
      <c r="D1347" s="4">
        <v>400</v>
      </c>
      <c r="E1347" t="str">
        <f t="shared" ref="E1347:E1410" si="43">IF(OR(C1347="A302", C1347="B303", C1347="C301"), "Direct", "Shared")</f>
        <v>Direct</v>
      </c>
      <c r="F1347" s="13" t="str">
        <f t="shared" si="42"/>
        <v>2025-03</v>
      </c>
    </row>
    <row r="1348" spans="1:6" x14ac:dyDescent="0.2">
      <c r="A1348" s="2">
        <v>45752</v>
      </c>
      <c r="B1348" s="1" t="s">
        <v>384</v>
      </c>
      <c r="C1348" s="1" t="s">
        <v>297</v>
      </c>
      <c r="D1348" s="4">
        <v>1100</v>
      </c>
      <c r="E1348" t="str">
        <f t="shared" si="43"/>
        <v>Direct</v>
      </c>
      <c r="F1348" s="13" t="str">
        <f t="shared" si="42"/>
        <v>2025-04</v>
      </c>
    </row>
    <row r="1349" spans="1:6" x14ac:dyDescent="0.2">
      <c r="A1349" s="2">
        <v>45752</v>
      </c>
      <c r="B1349" s="1" t="s">
        <v>640</v>
      </c>
      <c r="C1349" s="1" t="s">
        <v>296</v>
      </c>
      <c r="D1349" s="4">
        <v>550</v>
      </c>
      <c r="E1349" t="str">
        <f t="shared" si="43"/>
        <v>Direct</v>
      </c>
      <c r="F1349" s="13" t="str">
        <f t="shared" si="42"/>
        <v>2025-04</v>
      </c>
    </row>
    <row r="1350" spans="1:6" x14ac:dyDescent="0.2">
      <c r="A1350" s="2">
        <v>45752</v>
      </c>
      <c r="B1350" s="1" t="s">
        <v>9</v>
      </c>
      <c r="C1350" s="1" t="s">
        <v>297</v>
      </c>
      <c r="D1350" s="4">
        <v>350</v>
      </c>
      <c r="E1350" t="str">
        <f t="shared" si="43"/>
        <v>Direct</v>
      </c>
      <c r="F1350" s="13" t="str">
        <f t="shared" si="42"/>
        <v>2025-04</v>
      </c>
    </row>
    <row r="1351" spans="1:6" x14ac:dyDescent="0.2">
      <c r="A1351" s="2">
        <v>45753</v>
      </c>
      <c r="B1351" s="1" t="s">
        <v>363</v>
      </c>
      <c r="C1351" s="1" t="s">
        <v>295</v>
      </c>
      <c r="D1351" s="4">
        <v>800</v>
      </c>
      <c r="E1351" t="str">
        <f t="shared" si="43"/>
        <v>Direct</v>
      </c>
      <c r="F1351" s="13" t="str">
        <f t="shared" si="42"/>
        <v>2025-04</v>
      </c>
    </row>
    <row r="1352" spans="1:6" x14ac:dyDescent="0.2">
      <c r="A1352" s="2">
        <v>45753</v>
      </c>
      <c r="B1352" s="1" t="s">
        <v>366</v>
      </c>
      <c r="C1352" s="1" t="s">
        <v>295</v>
      </c>
      <c r="D1352" s="4">
        <v>290</v>
      </c>
      <c r="E1352" t="str">
        <f t="shared" si="43"/>
        <v>Direct</v>
      </c>
      <c r="F1352" s="13" t="str">
        <f t="shared" si="42"/>
        <v>2025-04</v>
      </c>
    </row>
    <row r="1353" spans="1:6" x14ac:dyDescent="0.2">
      <c r="A1353" s="2">
        <v>45753</v>
      </c>
      <c r="B1353" s="1" t="s">
        <v>641</v>
      </c>
      <c r="C1353" s="1" t="s">
        <v>295</v>
      </c>
      <c r="D1353" s="4">
        <v>600</v>
      </c>
      <c r="E1353" t="str">
        <f t="shared" si="43"/>
        <v>Direct</v>
      </c>
      <c r="F1353" s="13" t="str">
        <f t="shared" si="42"/>
        <v>2025-04</v>
      </c>
    </row>
    <row r="1354" spans="1:6" x14ac:dyDescent="0.2">
      <c r="A1354" s="2">
        <v>45754</v>
      </c>
      <c r="B1354" s="1" t="s">
        <v>985</v>
      </c>
      <c r="C1354" s="1" t="s">
        <v>295</v>
      </c>
      <c r="D1354" s="4">
        <v>25642</v>
      </c>
      <c r="E1354" t="str">
        <f t="shared" si="43"/>
        <v>Direct</v>
      </c>
      <c r="F1354" s="13" t="str">
        <f t="shared" si="42"/>
        <v>2025-04</v>
      </c>
    </row>
    <row r="1355" spans="1:6" x14ac:dyDescent="0.2">
      <c r="A1355" s="2">
        <v>45754</v>
      </c>
      <c r="B1355" s="1" t="s">
        <v>985</v>
      </c>
      <c r="C1355" s="1" t="s">
        <v>297</v>
      </c>
      <c r="D1355" s="4">
        <v>25642</v>
      </c>
      <c r="E1355" t="str">
        <f t="shared" si="43"/>
        <v>Direct</v>
      </c>
      <c r="F1355" s="13" t="str">
        <f t="shared" si="42"/>
        <v>2025-04</v>
      </c>
    </row>
    <row r="1356" spans="1:6" x14ac:dyDescent="0.2">
      <c r="A1356" s="2">
        <v>45755</v>
      </c>
      <c r="B1356" s="1" t="s">
        <v>642</v>
      </c>
      <c r="C1356" s="1" t="s">
        <v>295</v>
      </c>
      <c r="D1356" s="4">
        <v>400</v>
      </c>
      <c r="E1356" t="str">
        <f t="shared" si="43"/>
        <v>Direct</v>
      </c>
      <c r="F1356" s="13" t="str">
        <f t="shared" si="42"/>
        <v>2025-04</v>
      </c>
    </row>
    <row r="1357" spans="1:6" x14ac:dyDescent="0.2">
      <c r="A1357" s="2">
        <v>45755</v>
      </c>
      <c r="B1357" s="1" t="s">
        <v>5</v>
      </c>
      <c r="C1357" s="1" t="s">
        <v>994</v>
      </c>
      <c r="D1357" s="4">
        <v>2000</v>
      </c>
      <c r="E1357" t="str">
        <f t="shared" si="43"/>
        <v>Shared</v>
      </c>
      <c r="F1357" s="13" t="str">
        <f t="shared" si="42"/>
        <v>2025-04</v>
      </c>
    </row>
    <row r="1358" spans="1:6" x14ac:dyDescent="0.2">
      <c r="A1358" s="2">
        <v>45757</v>
      </c>
      <c r="B1358" s="1" t="s">
        <v>298</v>
      </c>
      <c r="C1358" s="1" t="s">
        <v>296</v>
      </c>
      <c r="D1358" s="4">
        <v>1100</v>
      </c>
      <c r="E1358" t="str">
        <f t="shared" si="43"/>
        <v>Direct</v>
      </c>
      <c r="F1358" s="13" t="str">
        <f t="shared" si="42"/>
        <v>2025-04</v>
      </c>
    </row>
    <row r="1359" spans="1:6" x14ac:dyDescent="0.2">
      <c r="A1359" s="2">
        <v>45758</v>
      </c>
      <c r="B1359" s="1" t="s">
        <v>298</v>
      </c>
      <c r="C1359" s="1" t="s">
        <v>295</v>
      </c>
      <c r="D1359" s="4">
        <v>1100</v>
      </c>
      <c r="E1359" t="str">
        <f t="shared" si="43"/>
        <v>Direct</v>
      </c>
      <c r="F1359" s="13" t="str">
        <f t="shared" si="42"/>
        <v>2025-04</v>
      </c>
    </row>
    <row r="1360" spans="1:6" x14ac:dyDescent="0.2">
      <c r="A1360" s="2">
        <v>45758</v>
      </c>
      <c r="B1360" s="1" t="s">
        <v>9</v>
      </c>
      <c r="C1360" s="1" t="s">
        <v>295</v>
      </c>
      <c r="D1360" s="4">
        <v>450</v>
      </c>
      <c r="E1360" t="str">
        <f t="shared" si="43"/>
        <v>Direct</v>
      </c>
      <c r="F1360" s="13" t="str">
        <f t="shared" si="42"/>
        <v>2025-04</v>
      </c>
    </row>
    <row r="1361" spans="1:6" x14ac:dyDescent="0.2">
      <c r="A1361" s="2">
        <v>45759</v>
      </c>
      <c r="B1361" s="1" t="s">
        <v>985</v>
      </c>
      <c r="C1361" s="1" t="s">
        <v>296</v>
      </c>
      <c r="D1361" s="4">
        <v>11000</v>
      </c>
      <c r="E1361" t="str">
        <f t="shared" si="43"/>
        <v>Direct</v>
      </c>
      <c r="F1361" s="13" t="str">
        <f t="shared" si="42"/>
        <v>2025-04</v>
      </c>
    </row>
    <row r="1362" spans="1:6" x14ac:dyDescent="0.2">
      <c r="A1362" s="2">
        <v>45763</v>
      </c>
      <c r="B1362" s="1" t="s">
        <v>542</v>
      </c>
      <c r="C1362" s="1" t="s">
        <v>295</v>
      </c>
      <c r="D1362" s="4">
        <v>200</v>
      </c>
      <c r="E1362" t="str">
        <f t="shared" si="43"/>
        <v>Direct</v>
      </c>
      <c r="F1362" s="13" t="str">
        <f t="shared" si="42"/>
        <v>2025-04</v>
      </c>
    </row>
    <row r="1363" spans="1:6" x14ac:dyDescent="0.2">
      <c r="A1363" s="2">
        <v>45765</v>
      </c>
      <c r="B1363" s="1" t="s">
        <v>298</v>
      </c>
      <c r="C1363" s="1" t="s">
        <v>295</v>
      </c>
      <c r="D1363" s="4">
        <v>1100</v>
      </c>
      <c r="E1363" t="str">
        <f t="shared" si="43"/>
        <v>Direct</v>
      </c>
      <c r="F1363" s="13" t="str">
        <f t="shared" si="42"/>
        <v>2025-04</v>
      </c>
    </row>
    <row r="1364" spans="1:6" x14ac:dyDescent="0.2">
      <c r="A1364" s="2">
        <v>45765</v>
      </c>
      <c r="B1364" s="1" t="s">
        <v>298</v>
      </c>
      <c r="C1364" s="1" t="s">
        <v>297</v>
      </c>
      <c r="D1364" s="4">
        <v>1100</v>
      </c>
      <c r="E1364" t="str">
        <f t="shared" si="43"/>
        <v>Direct</v>
      </c>
      <c r="F1364" s="13" t="str">
        <f t="shared" si="42"/>
        <v>2025-04</v>
      </c>
    </row>
    <row r="1365" spans="1:6" x14ac:dyDescent="0.2">
      <c r="A1365" s="2">
        <v>45765</v>
      </c>
      <c r="B1365" s="1" t="s">
        <v>9</v>
      </c>
      <c r="C1365" s="1" t="s">
        <v>297</v>
      </c>
      <c r="D1365" s="4">
        <v>300</v>
      </c>
      <c r="E1365" t="str">
        <f t="shared" si="43"/>
        <v>Direct</v>
      </c>
      <c r="F1365" s="13" t="str">
        <f t="shared" si="42"/>
        <v>2025-04</v>
      </c>
    </row>
    <row r="1366" spans="1:6" x14ac:dyDescent="0.2">
      <c r="A1366" s="2">
        <v>45765</v>
      </c>
      <c r="B1366" s="1" t="s">
        <v>9</v>
      </c>
      <c r="C1366" s="1" t="s">
        <v>295</v>
      </c>
      <c r="D1366" s="4">
        <v>345</v>
      </c>
      <c r="E1366" t="str">
        <f t="shared" si="43"/>
        <v>Direct</v>
      </c>
      <c r="F1366" s="13" t="str">
        <f t="shared" si="42"/>
        <v>2025-04</v>
      </c>
    </row>
    <row r="1367" spans="1:6" x14ac:dyDescent="0.2">
      <c r="A1367" s="2">
        <v>45765</v>
      </c>
      <c r="B1367" s="1" t="s">
        <v>9</v>
      </c>
      <c r="C1367" s="1" t="s">
        <v>296</v>
      </c>
      <c r="D1367" s="4">
        <v>320</v>
      </c>
      <c r="E1367" t="str">
        <f t="shared" si="43"/>
        <v>Direct</v>
      </c>
      <c r="F1367" s="13" t="str">
        <f t="shared" si="42"/>
        <v>2025-04</v>
      </c>
    </row>
    <row r="1368" spans="1:6" x14ac:dyDescent="0.2">
      <c r="A1368" s="2">
        <v>45784</v>
      </c>
      <c r="B1368" s="1" t="s">
        <v>985</v>
      </c>
      <c r="C1368" s="1" t="s">
        <v>295</v>
      </c>
      <c r="D1368" s="4">
        <v>27502</v>
      </c>
      <c r="E1368" t="str">
        <f t="shared" si="43"/>
        <v>Direct</v>
      </c>
      <c r="F1368" s="13" t="str">
        <f t="shared" si="42"/>
        <v>2025-05</v>
      </c>
    </row>
    <row r="1369" spans="1:6" x14ac:dyDescent="0.2">
      <c r="A1369" s="2">
        <v>45784</v>
      </c>
      <c r="B1369" s="1" t="s">
        <v>985</v>
      </c>
      <c r="C1369" s="1" t="s">
        <v>297</v>
      </c>
      <c r="D1369" s="4">
        <v>27502</v>
      </c>
      <c r="E1369" t="str">
        <f t="shared" si="43"/>
        <v>Direct</v>
      </c>
      <c r="F1369" s="13" t="str">
        <f t="shared" si="42"/>
        <v>2025-05</v>
      </c>
    </row>
    <row r="1370" spans="1:6" x14ac:dyDescent="0.2">
      <c r="A1370" s="2">
        <v>45785</v>
      </c>
      <c r="B1370" s="1" t="s">
        <v>643</v>
      </c>
      <c r="C1370" s="1" t="s">
        <v>295</v>
      </c>
      <c r="D1370" s="4">
        <v>1200</v>
      </c>
      <c r="E1370" t="str">
        <f t="shared" si="43"/>
        <v>Direct</v>
      </c>
      <c r="F1370" s="13" t="str">
        <f t="shared" si="42"/>
        <v>2025-05</v>
      </c>
    </row>
    <row r="1371" spans="1:6" x14ac:dyDescent="0.2">
      <c r="A1371" s="2">
        <v>45789</v>
      </c>
      <c r="B1371" s="1" t="s">
        <v>985</v>
      </c>
      <c r="C1371" s="1" t="s">
        <v>296</v>
      </c>
      <c r="D1371" s="4">
        <v>11000</v>
      </c>
      <c r="E1371" t="str">
        <f t="shared" si="43"/>
        <v>Direct</v>
      </c>
      <c r="F1371" s="13" t="str">
        <f t="shared" si="42"/>
        <v>2025-05</v>
      </c>
    </row>
    <row r="1372" spans="1:6" x14ac:dyDescent="0.2">
      <c r="A1372" s="2">
        <v>45798</v>
      </c>
      <c r="B1372" s="1" t="s">
        <v>298</v>
      </c>
      <c r="C1372" s="1" t="s">
        <v>296</v>
      </c>
      <c r="D1372" s="4">
        <v>1100</v>
      </c>
      <c r="E1372" t="str">
        <f t="shared" si="43"/>
        <v>Direct</v>
      </c>
      <c r="F1372" s="13" t="str">
        <f t="shared" si="42"/>
        <v>2025-05</v>
      </c>
    </row>
    <row r="1373" spans="1:6" x14ac:dyDescent="0.2">
      <c r="A1373" s="2">
        <v>45803</v>
      </c>
      <c r="B1373" s="1" t="s">
        <v>644</v>
      </c>
      <c r="C1373" s="1" t="s">
        <v>297</v>
      </c>
      <c r="D1373" s="4">
        <v>1100</v>
      </c>
      <c r="E1373" t="str">
        <f t="shared" si="43"/>
        <v>Direct</v>
      </c>
      <c r="F1373" s="13" t="str">
        <f t="shared" si="42"/>
        <v>2025-05</v>
      </c>
    </row>
    <row r="1374" spans="1:6" x14ac:dyDescent="0.2">
      <c r="A1374" s="2">
        <v>45803</v>
      </c>
      <c r="B1374" s="1" t="s">
        <v>183</v>
      </c>
      <c r="C1374" s="1" t="s">
        <v>994</v>
      </c>
      <c r="D1374" s="4">
        <v>2000</v>
      </c>
      <c r="E1374" t="str">
        <f t="shared" si="43"/>
        <v>Shared</v>
      </c>
      <c r="F1374" s="13" t="str">
        <f t="shared" si="42"/>
        <v>2025-05</v>
      </c>
    </row>
    <row r="1375" spans="1:6" x14ac:dyDescent="0.2">
      <c r="A1375" s="2">
        <v>45806</v>
      </c>
      <c r="B1375" s="1" t="s">
        <v>298</v>
      </c>
      <c r="C1375" s="1" t="s">
        <v>296</v>
      </c>
      <c r="D1375" s="4">
        <v>1100</v>
      </c>
      <c r="E1375" t="str">
        <f t="shared" si="43"/>
        <v>Direct</v>
      </c>
      <c r="F1375" s="13" t="str">
        <f t="shared" si="42"/>
        <v>2025-05</v>
      </c>
    </row>
    <row r="1376" spans="1:6" x14ac:dyDescent="0.2">
      <c r="A1376" s="2">
        <v>45806</v>
      </c>
      <c r="B1376" s="1" t="s">
        <v>9</v>
      </c>
      <c r="C1376" s="1" t="s">
        <v>296</v>
      </c>
      <c r="D1376" s="4">
        <v>320</v>
      </c>
      <c r="E1376" t="str">
        <f t="shared" si="43"/>
        <v>Direct</v>
      </c>
      <c r="F1376" s="13" t="str">
        <f t="shared" si="42"/>
        <v>2025-05</v>
      </c>
    </row>
    <row r="1377" spans="1:6" x14ac:dyDescent="0.2">
      <c r="A1377" s="2">
        <v>45806</v>
      </c>
      <c r="B1377" s="1" t="s">
        <v>266</v>
      </c>
      <c r="C1377" s="1" t="s">
        <v>994</v>
      </c>
      <c r="D1377" s="4">
        <v>1320</v>
      </c>
      <c r="E1377" t="str">
        <f t="shared" si="43"/>
        <v>Shared</v>
      </c>
      <c r="F1377" s="13" t="str">
        <f t="shared" si="42"/>
        <v>2025-05</v>
      </c>
    </row>
    <row r="1378" spans="1:6" x14ac:dyDescent="0.2">
      <c r="A1378" s="2">
        <v>45807</v>
      </c>
      <c r="B1378" s="1" t="s">
        <v>384</v>
      </c>
      <c r="C1378" s="1" t="s">
        <v>297</v>
      </c>
      <c r="D1378" s="4">
        <v>1100</v>
      </c>
      <c r="E1378" t="str">
        <f t="shared" si="43"/>
        <v>Direct</v>
      </c>
      <c r="F1378" s="13" t="str">
        <f t="shared" si="42"/>
        <v>2025-05</v>
      </c>
    </row>
    <row r="1379" spans="1:6" x14ac:dyDescent="0.2">
      <c r="A1379" s="2">
        <v>45807</v>
      </c>
      <c r="B1379" s="1" t="s">
        <v>9</v>
      </c>
      <c r="C1379" s="1" t="s">
        <v>297</v>
      </c>
      <c r="D1379" s="4">
        <v>300</v>
      </c>
      <c r="E1379" t="str">
        <f t="shared" si="43"/>
        <v>Direct</v>
      </c>
      <c r="F1379" s="13" t="str">
        <f t="shared" si="42"/>
        <v>2025-05</v>
      </c>
    </row>
    <row r="1380" spans="1:6" x14ac:dyDescent="0.2">
      <c r="A1380" s="2">
        <v>45807</v>
      </c>
      <c r="B1380" s="1" t="s">
        <v>267</v>
      </c>
      <c r="C1380" s="1" t="s">
        <v>994</v>
      </c>
      <c r="D1380" s="4">
        <v>1300</v>
      </c>
      <c r="E1380" t="str">
        <f t="shared" si="43"/>
        <v>Shared</v>
      </c>
      <c r="F1380" s="13" t="str">
        <f t="shared" si="42"/>
        <v>2025-05</v>
      </c>
    </row>
    <row r="1381" spans="1:6" x14ac:dyDescent="0.2">
      <c r="A1381" s="2">
        <v>45813</v>
      </c>
      <c r="B1381" s="1" t="s">
        <v>645</v>
      </c>
      <c r="C1381" s="1" t="s">
        <v>295</v>
      </c>
      <c r="D1381" s="4">
        <v>1100</v>
      </c>
      <c r="E1381" t="str">
        <f t="shared" si="43"/>
        <v>Direct</v>
      </c>
      <c r="F1381" s="13" t="str">
        <f t="shared" si="42"/>
        <v>2025-06</v>
      </c>
    </row>
    <row r="1382" spans="1:6" x14ac:dyDescent="0.2">
      <c r="A1382" s="2">
        <v>45814</v>
      </c>
      <c r="B1382" s="1" t="s">
        <v>646</v>
      </c>
      <c r="C1382" s="1" t="s">
        <v>295</v>
      </c>
      <c r="D1382" s="4">
        <v>650</v>
      </c>
      <c r="E1382" t="str">
        <f t="shared" si="43"/>
        <v>Direct</v>
      </c>
      <c r="F1382" s="13" t="str">
        <f t="shared" si="42"/>
        <v>2025-06</v>
      </c>
    </row>
    <row r="1383" spans="1:6" x14ac:dyDescent="0.2">
      <c r="A1383" s="2">
        <v>45814</v>
      </c>
      <c r="B1383" s="1" t="s">
        <v>265</v>
      </c>
      <c r="C1383" s="1" t="s">
        <v>994</v>
      </c>
      <c r="D1383" s="4">
        <v>200</v>
      </c>
      <c r="E1383" t="str">
        <f t="shared" si="43"/>
        <v>Shared</v>
      </c>
      <c r="F1383" s="13" t="str">
        <f t="shared" si="42"/>
        <v>2025-06</v>
      </c>
    </row>
    <row r="1384" spans="1:6" x14ac:dyDescent="0.2">
      <c r="A1384" s="2">
        <v>45814</v>
      </c>
      <c r="B1384" s="1" t="s">
        <v>647</v>
      </c>
      <c r="C1384" s="1" t="s">
        <v>295</v>
      </c>
      <c r="D1384" s="4">
        <v>900</v>
      </c>
      <c r="E1384" t="str">
        <f t="shared" si="43"/>
        <v>Direct</v>
      </c>
      <c r="F1384" s="13" t="str">
        <f t="shared" si="42"/>
        <v>2025-06</v>
      </c>
    </row>
    <row r="1385" spans="1:6" x14ac:dyDescent="0.2">
      <c r="A1385" s="2">
        <v>45815</v>
      </c>
      <c r="B1385" s="1" t="s">
        <v>985</v>
      </c>
      <c r="C1385" s="1" t="s">
        <v>295</v>
      </c>
      <c r="D1385" s="4">
        <v>22166</v>
      </c>
      <c r="E1385" t="str">
        <f t="shared" si="43"/>
        <v>Direct</v>
      </c>
      <c r="F1385" s="13" t="str">
        <f t="shared" si="42"/>
        <v>2025-06</v>
      </c>
    </row>
    <row r="1386" spans="1:6" x14ac:dyDescent="0.2">
      <c r="A1386" s="2">
        <v>45820</v>
      </c>
      <c r="B1386" s="1" t="s">
        <v>985</v>
      </c>
      <c r="C1386" s="1" t="s">
        <v>296</v>
      </c>
      <c r="D1386" s="4">
        <v>11000</v>
      </c>
      <c r="E1386" t="str">
        <f t="shared" si="43"/>
        <v>Direct</v>
      </c>
      <c r="F1386" s="13" t="str">
        <f t="shared" si="42"/>
        <v>2025-06</v>
      </c>
    </row>
    <row r="1387" spans="1:6" x14ac:dyDescent="0.2">
      <c r="A1387" s="2">
        <v>45834</v>
      </c>
      <c r="B1387" s="1" t="s">
        <v>631</v>
      </c>
      <c r="C1387" s="1" t="s">
        <v>296</v>
      </c>
      <c r="D1387" s="4">
        <v>600</v>
      </c>
      <c r="E1387" t="str">
        <f t="shared" si="43"/>
        <v>Direct</v>
      </c>
      <c r="F1387" s="13" t="str">
        <f t="shared" si="42"/>
        <v>2025-06</v>
      </c>
    </row>
    <row r="1388" spans="1:6" x14ac:dyDescent="0.2">
      <c r="A1388" s="2">
        <v>45834</v>
      </c>
      <c r="B1388" s="1" t="s">
        <v>183</v>
      </c>
      <c r="C1388" s="1" t="s">
        <v>994</v>
      </c>
      <c r="D1388" s="4">
        <v>6000</v>
      </c>
      <c r="E1388" t="str">
        <f t="shared" si="43"/>
        <v>Shared</v>
      </c>
      <c r="F1388" s="13" t="str">
        <f t="shared" si="42"/>
        <v>2025-06</v>
      </c>
    </row>
    <row r="1389" spans="1:6" x14ac:dyDescent="0.2">
      <c r="A1389" s="2">
        <v>45835</v>
      </c>
      <c r="B1389" s="1" t="s">
        <v>373</v>
      </c>
      <c r="C1389" s="1" t="s">
        <v>296</v>
      </c>
      <c r="D1389" s="4">
        <v>800</v>
      </c>
      <c r="E1389" t="str">
        <f t="shared" si="43"/>
        <v>Direct</v>
      </c>
      <c r="F1389" s="13" t="str">
        <f t="shared" si="42"/>
        <v>2025-06</v>
      </c>
    </row>
    <row r="1390" spans="1:6" x14ac:dyDescent="0.2">
      <c r="A1390" s="2">
        <v>45839</v>
      </c>
      <c r="B1390" s="1" t="s">
        <v>648</v>
      </c>
      <c r="C1390" s="1" t="s">
        <v>295</v>
      </c>
      <c r="D1390" s="4">
        <v>700</v>
      </c>
      <c r="E1390" t="str">
        <f t="shared" si="43"/>
        <v>Direct</v>
      </c>
      <c r="F1390" s="13" t="str">
        <f t="shared" si="42"/>
        <v>2025-07</v>
      </c>
    </row>
    <row r="1391" spans="1:6" x14ac:dyDescent="0.2">
      <c r="A1391" s="2">
        <v>45839</v>
      </c>
      <c r="B1391" s="1" t="s">
        <v>183</v>
      </c>
      <c r="C1391" s="1" t="s">
        <v>994</v>
      </c>
      <c r="D1391" s="4">
        <v>6000</v>
      </c>
      <c r="E1391" t="str">
        <f t="shared" si="43"/>
        <v>Shared</v>
      </c>
      <c r="F1391" s="13" t="str">
        <f t="shared" si="42"/>
        <v>2025-07</v>
      </c>
    </row>
    <row r="1392" spans="1:6" x14ac:dyDescent="0.2">
      <c r="A1392" s="2">
        <v>45843</v>
      </c>
      <c r="B1392" s="1" t="s">
        <v>265</v>
      </c>
      <c r="C1392" s="1" t="s">
        <v>994</v>
      </c>
      <c r="D1392" s="4">
        <v>200</v>
      </c>
      <c r="E1392" t="str">
        <f t="shared" si="43"/>
        <v>Shared</v>
      </c>
      <c r="F1392" s="13" t="str">
        <f t="shared" si="42"/>
        <v>2025-07</v>
      </c>
    </row>
    <row r="1393" spans="1:6" x14ac:dyDescent="0.2">
      <c r="A1393" s="2">
        <v>45845</v>
      </c>
      <c r="B1393" s="1" t="s">
        <v>633</v>
      </c>
      <c r="C1393" s="1" t="s">
        <v>295</v>
      </c>
      <c r="D1393" s="4">
        <v>600</v>
      </c>
      <c r="E1393" t="str">
        <f t="shared" si="43"/>
        <v>Direct</v>
      </c>
      <c r="F1393" s="13" t="str">
        <f t="shared" si="42"/>
        <v>2025-07</v>
      </c>
    </row>
    <row r="1394" spans="1:6" x14ac:dyDescent="0.2">
      <c r="A1394" s="2">
        <v>45845</v>
      </c>
      <c r="B1394" s="1" t="s">
        <v>985</v>
      </c>
      <c r="C1394" s="1" t="s">
        <v>295</v>
      </c>
      <c r="D1394" s="4">
        <v>23334</v>
      </c>
      <c r="E1394" t="str">
        <f t="shared" si="43"/>
        <v>Direct</v>
      </c>
      <c r="F1394" s="13" t="str">
        <f t="shared" si="42"/>
        <v>2025-07</v>
      </c>
    </row>
    <row r="1395" spans="1:6" x14ac:dyDescent="0.2">
      <c r="A1395" s="2">
        <v>45846</v>
      </c>
      <c r="B1395" s="1" t="s">
        <v>1079</v>
      </c>
      <c r="C1395" s="1" t="s">
        <v>295</v>
      </c>
      <c r="D1395" s="4">
        <v>640</v>
      </c>
      <c r="E1395" t="str">
        <f t="shared" si="43"/>
        <v>Direct</v>
      </c>
      <c r="F1395" s="13" t="str">
        <f t="shared" si="42"/>
        <v>2025-07</v>
      </c>
    </row>
    <row r="1396" spans="1:6" x14ac:dyDescent="0.2">
      <c r="A1396" s="2">
        <v>45850</v>
      </c>
      <c r="B1396" s="1" t="s">
        <v>985</v>
      </c>
      <c r="C1396" s="1" t="s">
        <v>296</v>
      </c>
      <c r="D1396" s="4">
        <v>11000</v>
      </c>
      <c r="E1396" t="str">
        <f t="shared" si="43"/>
        <v>Direct</v>
      </c>
      <c r="F1396" s="13" t="str">
        <f t="shared" si="42"/>
        <v>2025-07</v>
      </c>
    </row>
    <row r="1397" spans="1:6" x14ac:dyDescent="0.2">
      <c r="A1397" s="2">
        <v>45853</v>
      </c>
      <c r="B1397" s="1" t="s">
        <v>649</v>
      </c>
      <c r="C1397" s="1" t="s">
        <v>295</v>
      </c>
      <c r="D1397" s="4">
        <v>610</v>
      </c>
      <c r="E1397" t="str">
        <f t="shared" si="43"/>
        <v>Direct</v>
      </c>
      <c r="F1397" s="13" t="str">
        <f t="shared" si="42"/>
        <v>2025-07</v>
      </c>
    </row>
    <row r="1398" spans="1:6" x14ac:dyDescent="0.2">
      <c r="A1398" s="2">
        <v>45855</v>
      </c>
      <c r="B1398" s="1" t="s">
        <v>1080</v>
      </c>
      <c r="C1398" s="1" t="s">
        <v>295</v>
      </c>
      <c r="D1398" s="4">
        <v>300</v>
      </c>
      <c r="E1398" t="str">
        <f t="shared" si="43"/>
        <v>Direct</v>
      </c>
      <c r="F1398" s="13" t="str">
        <f t="shared" si="42"/>
        <v>2025-07</v>
      </c>
    </row>
    <row r="1399" spans="1:6" x14ac:dyDescent="0.2">
      <c r="A1399" s="2">
        <v>45857</v>
      </c>
      <c r="B1399" s="1" t="s">
        <v>268</v>
      </c>
      <c r="C1399" s="1" t="s">
        <v>994</v>
      </c>
      <c r="D1399" s="4">
        <v>1000</v>
      </c>
      <c r="E1399" t="str">
        <f t="shared" si="43"/>
        <v>Shared</v>
      </c>
      <c r="F1399" s="13" t="str">
        <f t="shared" si="42"/>
        <v>2025-07</v>
      </c>
    </row>
    <row r="1400" spans="1:6" x14ac:dyDescent="0.2">
      <c r="A1400" s="2">
        <v>45871</v>
      </c>
      <c r="B1400" s="1" t="s">
        <v>9</v>
      </c>
      <c r="C1400" s="1" t="s">
        <v>295</v>
      </c>
      <c r="D1400" s="4">
        <v>210</v>
      </c>
      <c r="E1400" t="str">
        <f t="shared" si="43"/>
        <v>Direct</v>
      </c>
      <c r="F1400" s="13" t="str">
        <f t="shared" si="42"/>
        <v>2025-08</v>
      </c>
    </row>
    <row r="1401" spans="1:6" x14ac:dyDescent="0.2">
      <c r="A1401" s="2">
        <v>45871</v>
      </c>
      <c r="B1401" s="1" t="s">
        <v>183</v>
      </c>
      <c r="C1401" s="1" t="s">
        <v>994</v>
      </c>
      <c r="D1401" s="4">
        <v>1200</v>
      </c>
      <c r="E1401" t="str">
        <f t="shared" si="43"/>
        <v>Shared</v>
      </c>
      <c r="F1401" s="13" t="str">
        <f t="shared" si="42"/>
        <v>2025-08</v>
      </c>
    </row>
    <row r="1402" spans="1:6" x14ac:dyDescent="0.2">
      <c r="A1402" s="2">
        <v>45876</v>
      </c>
      <c r="B1402" s="1" t="s">
        <v>985</v>
      </c>
      <c r="C1402" s="1" t="s">
        <v>295</v>
      </c>
      <c r="D1402" s="4">
        <v>22112</v>
      </c>
      <c r="E1402" t="str">
        <f t="shared" si="43"/>
        <v>Direct</v>
      </c>
      <c r="F1402" s="13" t="str">
        <f t="shared" si="42"/>
        <v>2025-08</v>
      </c>
    </row>
    <row r="1403" spans="1:6" x14ac:dyDescent="0.2">
      <c r="A1403" s="2">
        <v>45881</v>
      </c>
      <c r="B1403" s="1" t="s">
        <v>985</v>
      </c>
      <c r="C1403" s="1" t="s">
        <v>296</v>
      </c>
      <c r="D1403" s="4">
        <v>11000</v>
      </c>
      <c r="E1403" t="str">
        <f t="shared" si="43"/>
        <v>Direct</v>
      </c>
      <c r="F1403" s="13" t="str">
        <f t="shared" si="42"/>
        <v>2025-08</v>
      </c>
    </row>
    <row r="1404" spans="1:6" x14ac:dyDescent="0.2">
      <c r="A1404" s="2">
        <v>45885</v>
      </c>
      <c r="B1404" s="1" t="s">
        <v>650</v>
      </c>
      <c r="C1404" s="1" t="s">
        <v>295</v>
      </c>
      <c r="D1404" s="4">
        <v>2000</v>
      </c>
      <c r="E1404" t="str">
        <f t="shared" si="43"/>
        <v>Direct</v>
      </c>
      <c r="F1404" s="13" t="str">
        <f t="shared" si="42"/>
        <v>2025-08</v>
      </c>
    </row>
    <row r="1405" spans="1:6" x14ac:dyDescent="0.2">
      <c r="A1405" s="2">
        <v>45889</v>
      </c>
      <c r="B1405" s="1" t="s">
        <v>624</v>
      </c>
      <c r="C1405" s="1" t="s">
        <v>295</v>
      </c>
      <c r="D1405" s="4">
        <v>800</v>
      </c>
      <c r="E1405" t="str">
        <f t="shared" si="43"/>
        <v>Direct</v>
      </c>
      <c r="F1405" s="13" t="str">
        <f t="shared" si="42"/>
        <v>2025-08</v>
      </c>
    </row>
    <row r="1406" spans="1:6" x14ac:dyDescent="0.2">
      <c r="A1406" s="2">
        <v>45897</v>
      </c>
      <c r="B1406" s="1" t="s">
        <v>363</v>
      </c>
      <c r="C1406" s="1" t="s">
        <v>295</v>
      </c>
      <c r="D1406" s="4">
        <v>900</v>
      </c>
      <c r="E1406" t="str">
        <f t="shared" si="43"/>
        <v>Direct</v>
      </c>
      <c r="F1406" s="13" t="str">
        <f t="shared" si="42"/>
        <v>2025-08</v>
      </c>
    </row>
    <row r="1407" spans="1:6" x14ac:dyDescent="0.2">
      <c r="A1407" s="2">
        <v>45897</v>
      </c>
      <c r="B1407" s="1" t="s">
        <v>222</v>
      </c>
      <c r="C1407" s="1" t="s">
        <v>994</v>
      </c>
      <c r="D1407" s="4">
        <v>500</v>
      </c>
      <c r="E1407" t="str">
        <f t="shared" si="43"/>
        <v>Shared</v>
      </c>
      <c r="F1407" s="13" t="str">
        <f t="shared" si="42"/>
        <v>2025-08</v>
      </c>
    </row>
    <row r="1408" spans="1:6" x14ac:dyDescent="0.2">
      <c r="A1408" s="2">
        <v>45899</v>
      </c>
      <c r="B1408" s="1" t="s">
        <v>384</v>
      </c>
      <c r="C1408" s="1" t="s">
        <v>295</v>
      </c>
      <c r="D1408" s="4">
        <v>1100</v>
      </c>
      <c r="E1408" t="str">
        <f t="shared" si="43"/>
        <v>Direct</v>
      </c>
      <c r="F1408" s="13" t="str">
        <f t="shared" si="42"/>
        <v>2025-08</v>
      </c>
    </row>
    <row r="1409" spans="1:6" x14ac:dyDescent="0.2">
      <c r="A1409" s="2">
        <v>45899</v>
      </c>
      <c r="B1409" s="1" t="s">
        <v>9</v>
      </c>
      <c r="C1409" s="1" t="s">
        <v>295</v>
      </c>
      <c r="D1409" s="4">
        <v>320</v>
      </c>
      <c r="E1409" t="str">
        <f t="shared" si="43"/>
        <v>Direct</v>
      </c>
      <c r="F1409" s="13" t="str">
        <f t="shared" si="42"/>
        <v>2025-08</v>
      </c>
    </row>
    <row r="1410" spans="1:6" x14ac:dyDescent="0.2">
      <c r="A1410" s="2">
        <v>45903</v>
      </c>
      <c r="B1410" s="1" t="s">
        <v>9</v>
      </c>
      <c r="C1410" s="1" t="s">
        <v>295</v>
      </c>
      <c r="D1410" s="4">
        <v>300</v>
      </c>
      <c r="E1410" t="str">
        <f t="shared" si="43"/>
        <v>Direct</v>
      </c>
      <c r="F1410" s="13" t="str">
        <f t="shared" ref="F1410:F1473" si="44">YEAR(A1410)&amp;"-"&amp;TEXT(MONTH(A1410),"00")</f>
        <v>2025-09</v>
      </c>
    </row>
    <row r="1411" spans="1:6" x14ac:dyDescent="0.2">
      <c r="A1411" s="2">
        <v>45907</v>
      </c>
      <c r="B1411" s="1" t="s">
        <v>985</v>
      </c>
      <c r="C1411" s="1" t="s">
        <v>295</v>
      </c>
      <c r="D1411" s="4">
        <v>23762</v>
      </c>
      <c r="E1411" t="str">
        <f t="shared" ref="E1411:E1474" si="45">IF(OR(C1411="A302", C1411="B303", C1411="C301"), "Direct", "Shared")</f>
        <v>Direct</v>
      </c>
      <c r="F1411" s="13" t="str">
        <f t="shared" si="44"/>
        <v>2025-09</v>
      </c>
    </row>
    <row r="1412" spans="1:6" x14ac:dyDescent="0.2">
      <c r="A1412" s="2">
        <v>45908</v>
      </c>
      <c r="B1412" s="1" t="s">
        <v>652</v>
      </c>
      <c r="C1412" s="1" t="s">
        <v>295</v>
      </c>
      <c r="D1412" s="4">
        <v>600</v>
      </c>
      <c r="E1412" t="str">
        <f t="shared" si="45"/>
        <v>Direct</v>
      </c>
      <c r="F1412" s="13" t="str">
        <f t="shared" si="44"/>
        <v>2025-09</v>
      </c>
    </row>
    <row r="1413" spans="1:6" x14ac:dyDescent="0.2">
      <c r="A1413" s="2">
        <v>45908</v>
      </c>
      <c r="B1413" s="1" t="s">
        <v>183</v>
      </c>
      <c r="C1413" s="1" t="s">
        <v>994</v>
      </c>
      <c r="D1413" s="4">
        <v>5600</v>
      </c>
      <c r="E1413" t="str">
        <f t="shared" si="45"/>
        <v>Shared</v>
      </c>
      <c r="F1413" s="13" t="str">
        <f t="shared" si="44"/>
        <v>2025-09</v>
      </c>
    </row>
    <row r="1414" spans="1:6" x14ac:dyDescent="0.2">
      <c r="A1414" s="2">
        <v>45908</v>
      </c>
      <c r="B1414" s="1" t="s">
        <v>653</v>
      </c>
      <c r="C1414" s="1" t="s">
        <v>296</v>
      </c>
      <c r="D1414" s="4">
        <v>200</v>
      </c>
      <c r="E1414" t="str">
        <f t="shared" si="45"/>
        <v>Direct</v>
      </c>
      <c r="F1414" s="13" t="str">
        <f t="shared" si="44"/>
        <v>2025-09</v>
      </c>
    </row>
    <row r="1415" spans="1:6" x14ac:dyDescent="0.2">
      <c r="A1415" s="2">
        <v>45909</v>
      </c>
      <c r="B1415" s="1" t="s">
        <v>651</v>
      </c>
      <c r="C1415" s="1" t="s">
        <v>296</v>
      </c>
      <c r="D1415" s="4">
        <v>400</v>
      </c>
      <c r="E1415" t="str">
        <f t="shared" si="45"/>
        <v>Direct</v>
      </c>
      <c r="F1415" s="13" t="str">
        <f t="shared" si="44"/>
        <v>2025-09</v>
      </c>
    </row>
    <row r="1416" spans="1:6" x14ac:dyDescent="0.2">
      <c r="A1416" s="2">
        <v>45912</v>
      </c>
      <c r="B1416" s="1" t="s">
        <v>985</v>
      </c>
      <c r="C1416" s="1" t="s">
        <v>296</v>
      </c>
      <c r="D1416" s="4">
        <v>11000</v>
      </c>
      <c r="E1416" t="str">
        <f t="shared" si="45"/>
        <v>Direct</v>
      </c>
      <c r="F1416" s="13" t="str">
        <f t="shared" si="44"/>
        <v>2025-09</v>
      </c>
    </row>
    <row r="1417" spans="1:6" x14ac:dyDescent="0.2">
      <c r="A1417" s="2">
        <v>45937</v>
      </c>
      <c r="B1417" s="1" t="s">
        <v>985</v>
      </c>
      <c r="C1417" s="1" t="s">
        <v>295</v>
      </c>
      <c r="D1417" s="4">
        <v>22439</v>
      </c>
      <c r="E1417" t="str">
        <f t="shared" si="45"/>
        <v>Direct</v>
      </c>
      <c r="F1417" s="13" t="str">
        <f t="shared" si="44"/>
        <v>2025-10</v>
      </c>
    </row>
    <row r="1418" spans="1:6" x14ac:dyDescent="0.2">
      <c r="A1418" s="2">
        <v>45942</v>
      </c>
      <c r="B1418" s="1" t="s">
        <v>985</v>
      </c>
      <c r="C1418" s="1" t="s">
        <v>296</v>
      </c>
      <c r="D1418" s="4">
        <v>11000</v>
      </c>
      <c r="E1418" t="str">
        <f t="shared" si="45"/>
        <v>Direct</v>
      </c>
      <c r="F1418" s="13" t="str">
        <f t="shared" si="44"/>
        <v>2025-10</v>
      </c>
    </row>
    <row r="1419" spans="1:6" x14ac:dyDescent="0.2">
      <c r="A1419" s="2">
        <v>45946</v>
      </c>
      <c r="B1419" s="1" t="s">
        <v>654</v>
      </c>
      <c r="C1419" s="1" t="s">
        <v>296</v>
      </c>
      <c r="D1419" s="4">
        <v>1500</v>
      </c>
      <c r="E1419" t="str">
        <f t="shared" si="45"/>
        <v>Direct</v>
      </c>
      <c r="F1419" s="13" t="str">
        <f t="shared" si="44"/>
        <v>2025-10</v>
      </c>
    </row>
    <row r="1420" spans="1:6" x14ac:dyDescent="0.2">
      <c r="A1420" s="2">
        <v>45946</v>
      </c>
      <c r="B1420" s="1" t="s">
        <v>655</v>
      </c>
      <c r="C1420" s="1" t="s">
        <v>295</v>
      </c>
      <c r="D1420" s="4">
        <v>-1200</v>
      </c>
      <c r="E1420" t="str">
        <f t="shared" si="45"/>
        <v>Direct</v>
      </c>
      <c r="F1420" s="13" t="str">
        <f t="shared" si="44"/>
        <v>2025-10</v>
      </c>
    </row>
    <row r="1421" spans="1:6" x14ac:dyDescent="0.2">
      <c r="A1421" s="2">
        <v>45954</v>
      </c>
      <c r="B1421" s="1" t="s">
        <v>584</v>
      </c>
      <c r="C1421" s="1" t="s">
        <v>295</v>
      </c>
      <c r="D1421" s="4">
        <v>350</v>
      </c>
      <c r="E1421" t="str">
        <f t="shared" si="45"/>
        <v>Direct</v>
      </c>
      <c r="F1421" s="13" t="str">
        <f t="shared" si="44"/>
        <v>2025-10</v>
      </c>
    </row>
    <row r="1422" spans="1:6" x14ac:dyDescent="0.2">
      <c r="A1422" s="2">
        <v>45954</v>
      </c>
      <c r="B1422" s="1" t="s">
        <v>373</v>
      </c>
      <c r="C1422" s="1" t="s">
        <v>295</v>
      </c>
      <c r="D1422" s="4">
        <v>600</v>
      </c>
      <c r="E1422" t="str">
        <f t="shared" si="45"/>
        <v>Direct</v>
      </c>
      <c r="F1422" s="13" t="str">
        <f t="shared" si="44"/>
        <v>2025-10</v>
      </c>
    </row>
    <row r="1423" spans="1:6" x14ac:dyDescent="0.2">
      <c r="A1423" s="2">
        <v>45959</v>
      </c>
      <c r="B1423" s="1" t="s">
        <v>656</v>
      </c>
      <c r="C1423" s="1" t="s">
        <v>295</v>
      </c>
      <c r="D1423" s="4">
        <v>800</v>
      </c>
      <c r="E1423" t="str">
        <f t="shared" si="45"/>
        <v>Direct</v>
      </c>
      <c r="F1423" s="13" t="str">
        <f t="shared" si="44"/>
        <v>2025-10</v>
      </c>
    </row>
    <row r="1424" spans="1:6" x14ac:dyDescent="0.2">
      <c r="A1424" s="2">
        <v>45961</v>
      </c>
      <c r="B1424" s="1" t="s">
        <v>384</v>
      </c>
      <c r="C1424" s="1" t="s">
        <v>295</v>
      </c>
      <c r="D1424" s="4">
        <v>1100</v>
      </c>
      <c r="E1424" t="str">
        <f t="shared" si="45"/>
        <v>Direct</v>
      </c>
      <c r="F1424" s="13" t="str">
        <f t="shared" si="44"/>
        <v>2025-10</v>
      </c>
    </row>
    <row r="1425" spans="1:6" x14ac:dyDescent="0.2">
      <c r="A1425" s="2">
        <v>45961</v>
      </c>
      <c r="B1425" s="1" t="s">
        <v>9</v>
      </c>
      <c r="C1425" s="1" t="s">
        <v>295</v>
      </c>
      <c r="D1425" s="4">
        <v>300</v>
      </c>
      <c r="E1425" t="str">
        <f t="shared" si="45"/>
        <v>Direct</v>
      </c>
      <c r="F1425" s="13" t="str">
        <f t="shared" si="44"/>
        <v>2025-10</v>
      </c>
    </row>
    <row r="1426" spans="1:6" x14ac:dyDescent="0.2">
      <c r="A1426" s="2">
        <v>45961</v>
      </c>
      <c r="B1426" s="1" t="s">
        <v>183</v>
      </c>
      <c r="C1426" s="1" t="s">
        <v>994</v>
      </c>
      <c r="D1426" s="4">
        <v>4000</v>
      </c>
      <c r="E1426" t="str">
        <f t="shared" si="45"/>
        <v>Shared</v>
      </c>
      <c r="F1426" s="13" t="str">
        <f t="shared" si="44"/>
        <v>2025-10</v>
      </c>
    </row>
    <row r="1427" spans="1:6" x14ac:dyDescent="0.2">
      <c r="A1427" s="2">
        <v>45968</v>
      </c>
      <c r="B1427" s="1" t="s">
        <v>985</v>
      </c>
      <c r="C1427" s="1" t="s">
        <v>295</v>
      </c>
      <c r="D1427" s="4">
        <v>20291</v>
      </c>
      <c r="E1427" t="str">
        <f t="shared" si="45"/>
        <v>Direct</v>
      </c>
      <c r="F1427" s="13" t="str">
        <f t="shared" si="44"/>
        <v>2025-11</v>
      </c>
    </row>
    <row r="1428" spans="1:6" x14ac:dyDescent="0.2">
      <c r="A1428" s="2">
        <v>45973</v>
      </c>
      <c r="B1428" s="1" t="s">
        <v>657</v>
      </c>
      <c r="C1428" s="1" t="s">
        <v>296</v>
      </c>
      <c r="D1428" s="4">
        <v>700</v>
      </c>
      <c r="E1428" t="str">
        <f t="shared" si="45"/>
        <v>Direct</v>
      </c>
      <c r="F1428" s="13" t="str">
        <f t="shared" si="44"/>
        <v>2025-11</v>
      </c>
    </row>
    <row r="1429" spans="1:6" x14ac:dyDescent="0.2">
      <c r="A1429" s="2">
        <v>45973</v>
      </c>
      <c r="B1429" s="1" t="s">
        <v>985</v>
      </c>
      <c r="C1429" s="1" t="s">
        <v>296</v>
      </c>
      <c r="D1429" s="4">
        <v>11000</v>
      </c>
      <c r="E1429" t="str">
        <f t="shared" si="45"/>
        <v>Direct</v>
      </c>
      <c r="F1429" s="13" t="str">
        <f t="shared" si="44"/>
        <v>2025-11</v>
      </c>
    </row>
    <row r="1430" spans="1:6" x14ac:dyDescent="0.2">
      <c r="A1430" s="2">
        <v>45975</v>
      </c>
      <c r="B1430" s="1" t="s">
        <v>658</v>
      </c>
      <c r="C1430" s="1" t="s">
        <v>295</v>
      </c>
      <c r="D1430" s="4">
        <v>350</v>
      </c>
      <c r="E1430" t="str">
        <f t="shared" si="45"/>
        <v>Direct</v>
      </c>
      <c r="F1430" s="13" t="str">
        <f t="shared" si="44"/>
        <v>2025-11</v>
      </c>
    </row>
    <row r="1431" spans="1:6" x14ac:dyDescent="0.2">
      <c r="A1431" s="2">
        <v>45975</v>
      </c>
      <c r="B1431" s="1" t="s">
        <v>298</v>
      </c>
      <c r="C1431" s="1" t="s">
        <v>296</v>
      </c>
      <c r="D1431" s="4">
        <v>1100</v>
      </c>
      <c r="E1431" t="str">
        <f t="shared" si="45"/>
        <v>Direct</v>
      </c>
      <c r="F1431" s="13" t="str">
        <f t="shared" si="44"/>
        <v>2025-11</v>
      </c>
    </row>
    <row r="1432" spans="1:6" x14ac:dyDescent="0.2">
      <c r="A1432" s="2">
        <v>45977</v>
      </c>
      <c r="B1432" s="1" t="s">
        <v>659</v>
      </c>
      <c r="C1432" s="1" t="s">
        <v>296</v>
      </c>
      <c r="D1432" s="4">
        <v>600</v>
      </c>
      <c r="E1432" t="str">
        <f t="shared" si="45"/>
        <v>Direct</v>
      </c>
      <c r="F1432" s="13" t="str">
        <f t="shared" si="44"/>
        <v>2025-11</v>
      </c>
    </row>
    <row r="1433" spans="1:6" x14ac:dyDescent="0.2">
      <c r="A1433" s="2">
        <v>45978</v>
      </c>
      <c r="B1433" s="1" t="s">
        <v>660</v>
      </c>
      <c r="C1433" s="1" t="s">
        <v>295</v>
      </c>
      <c r="D1433" s="4">
        <v>600</v>
      </c>
      <c r="E1433" t="str">
        <f t="shared" si="45"/>
        <v>Direct</v>
      </c>
      <c r="F1433" s="13" t="str">
        <f t="shared" si="44"/>
        <v>2025-11</v>
      </c>
    </row>
    <row r="1434" spans="1:6" x14ac:dyDescent="0.2">
      <c r="A1434" s="2">
        <v>45978</v>
      </c>
      <c r="B1434" s="1" t="s">
        <v>269</v>
      </c>
      <c r="C1434" s="1" t="s">
        <v>296</v>
      </c>
      <c r="D1434" s="4">
        <v>500</v>
      </c>
      <c r="E1434" t="str">
        <f t="shared" si="45"/>
        <v>Direct</v>
      </c>
      <c r="F1434" s="13" t="str">
        <f t="shared" si="44"/>
        <v>2025-11</v>
      </c>
    </row>
    <row r="1435" spans="1:6" x14ac:dyDescent="0.2">
      <c r="A1435" s="2">
        <v>45979</v>
      </c>
      <c r="B1435" s="1" t="s">
        <v>270</v>
      </c>
      <c r="C1435" s="1" t="s">
        <v>296</v>
      </c>
      <c r="D1435" s="4">
        <v>500</v>
      </c>
      <c r="E1435" t="str">
        <f t="shared" si="45"/>
        <v>Direct</v>
      </c>
      <c r="F1435" s="13" t="str">
        <f t="shared" si="44"/>
        <v>2025-11</v>
      </c>
    </row>
    <row r="1436" spans="1:6" x14ac:dyDescent="0.2">
      <c r="A1436" s="2">
        <v>45979</v>
      </c>
      <c r="B1436" s="1" t="s">
        <v>271</v>
      </c>
      <c r="C1436" s="1" t="s">
        <v>994</v>
      </c>
      <c r="D1436" s="4">
        <v>500</v>
      </c>
      <c r="E1436" t="str">
        <f t="shared" si="45"/>
        <v>Shared</v>
      </c>
      <c r="F1436" s="13" t="str">
        <f t="shared" si="44"/>
        <v>2025-11</v>
      </c>
    </row>
    <row r="1437" spans="1:6" x14ac:dyDescent="0.2">
      <c r="A1437" s="2">
        <v>45980</v>
      </c>
      <c r="B1437" s="1" t="s">
        <v>314</v>
      </c>
      <c r="C1437" s="1" t="s">
        <v>295</v>
      </c>
      <c r="D1437" s="4">
        <v>1100</v>
      </c>
      <c r="E1437" t="str">
        <f t="shared" si="45"/>
        <v>Direct</v>
      </c>
      <c r="F1437" s="13" t="str">
        <f t="shared" si="44"/>
        <v>2025-11</v>
      </c>
    </row>
    <row r="1438" spans="1:6" x14ac:dyDescent="0.2">
      <c r="A1438" s="2">
        <v>45980</v>
      </c>
      <c r="B1438" s="1" t="s">
        <v>315</v>
      </c>
      <c r="C1438" s="1" t="s">
        <v>295</v>
      </c>
      <c r="D1438" s="4">
        <v>300</v>
      </c>
      <c r="E1438" t="str">
        <f t="shared" si="45"/>
        <v>Direct</v>
      </c>
      <c r="F1438" s="13" t="str">
        <f t="shared" si="44"/>
        <v>2025-11</v>
      </c>
    </row>
    <row r="1439" spans="1:6" x14ac:dyDescent="0.2">
      <c r="A1439" s="2">
        <v>45984</v>
      </c>
      <c r="B1439" s="1" t="s">
        <v>661</v>
      </c>
      <c r="C1439" s="1" t="s">
        <v>295</v>
      </c>
      <c r="D1439" s="4">
        <v>100</v>
      </c>
      <c r="E1439" t="str">
        <f t="shared" si="45"/>
        <v>Direct</v>
      </c>
      <c r="F1439" s="13" t="str">
        <f t="shared" si="44"/>
        <v>2025-11</v>
      </c>
    </row>
    <row r="1440" spans="1:6" x14ac:dyDescent="0.2">
      <c r="A1440" s="2">
        <v>45985</v>
      </c>
      <c r="B1440" s="1" t="s">
        <v>637</v>
      </c>
      <c r="C1440" s="1" t="s">
        <v>295</v>
      </c>
      <c r="D1440" s="4">
        <v>1400</v>
      </c>
      <c r="E1440" t="str">
        <f t="shared" si="45"/>
        <v>Direct</v>
      </c>
      <c r="F1440" s="13" t="str">
        <f t="shared" si="44"/>
        <v>2025-11</v>
      </c>
    </row>
    <row r="1441" spans="1:6" x14ac:dyDescent="0.2">
      <c r="A1441" s="2">
        <v>45996</v>
      </c>
      <c r="B1441" s="1" t="s">
        <v>542</v>
      </c>
      <c r="C1441" s="1" t="s">
        <v>295</v>
      </c>
      <c r="D1441" s="4">
        <v>350</v>
      </c>
      <c r="E1441" t="str">
        <f t="shared" si="45"/>
        <v>Direct</v>
      </c>
      <c r="F1441" s="13" t="str">
        <f t="shared" si="44"/>
        <v>2025-12</v>
      </c>
    </row>
    <row r="1442" spans="1:6" x14ac:dyDescent="0.2">
      <c r="A1442" s="2">
        <v>45996</v>
      </c>
      <c r="B1442" s="1" t="s">
        <v>662</v>
      </c>
      <c r="C1442" s="1" t="s">
        <v>296</v>
      </c>
      <c r="D1442" s="4">
        <v>500</v>
      </c>
      <c r="E1442" t="str">
        <f t="shared" si="45"/>
        <v>Direct</v>
      </c>
      <c r="F1442" s="13" t="str">
        <f t="shared" si="44"/>
        <v>2025-12</v>
      </c>
    </row>
    <row r="1443" spans="1:6" x14ac:dyDescent="0.2">
      <c r="A1443" s="2">
        <v>45996</v>
      </c>
      <c r="B1443" s="1" t="s">
        <v>183</v>
      </c>
      <c r="C1443" s="1" t="s">
        <v>994</v>
      </c>
      <c r="D1443" s="4">
        <v>4000</v>
      </c>
      <c r="E1443" t="str">
        <f t="shared" si="45"/>
        <v>Shared</v>
      </c>
      <c r="F1443" s="13" t="str">
        <f t="shared" si="44"/>
        <v>2025-12</v>
      </c>
    </row>
    <row r="1444" spans="1:6" x14ac:dyDescent="0.2">
      <c r="A1444" s="2">
        <v>45998</v>
      </c>
      <c r="B1444" s="1" t="s">
        <v>384</v>
      </c>
      <c r="C1444" s="1" t="s">
        <v>295</v>
      </c>
      <c r="D1444" s="4">
        <v>1100</v>
      </c>
      <c r="E1444" t="str">
        <f t="shared" si="45"/>
        <v>Direct</v>
      </c>
      <c r="F1444" s="13" t="str">
        <f t="shared" si="44"/>
        <v>2025-12</v>
      </c>
    </row>
    <row r="1445" spans="1:6" x14ac:dyDescent="0.2">
      <c r="A1445" s="2">
        <v>45998</v>
      </c>
      <c r="B1445" s="1" t="s">
        <v>985</v>
      </c>
      <c r="C1445" s="1" t="s">
        <v>295</v>
      </c>
      <c r="D1445" s="4">
        <v>22237</v>
      </c>
      <c r="E1445" t="str">
        <f t="shared" si="45"/>
        <v>Direct</v>
      </c>
      <c r="F1445" s="13" t="str">
        <f t="shared" si="44"/>
        <v>2025-12</v>
      </c>
    </row>
    <row r="1446" spans="1:6" x14ac:dyDescent="0.2">
      <c r="A1446" s="2">
        <v>45999</v>
      </c>
      <c r="B1446" s="1" t="s">
        <v>272</v>
      </c>
      <c r="C1446" s="1" t="s">
        <v>994</v>
      </c>
      <c r="D1446" s="4">
        <v>500</v>
      </c>
      <c r="E1446" t="str">
        <f t="shared" si="45"/>
        <v>Shared</v>
      </c>
      <c r="F1446" s="13" t="str">
        <f t="shared" si="44"/>
        <v>2025-12</v>
      </c>
    </row>
    <row r="1447" spans="1:6" x14ac:dyDescent="0.2">
      <c r="A1447" s="2">
        <v>45999</v>
      </c>
      <c r="B1447" s="1" t="s">
        <v>584</v>
      </c>
      <c r="C1447" s="1" t="s">
        <v>296</v>
      </c>
      <c r="D1447" s="4">
        <v>300</v>
      </c>
      <c r="E1447" t="str">
        <f t="shared" si="45"/>
        <v>Direct</v>
      </c>
      <c r="F1447" s="13" t="str">
        <f t="shared" si="44"/>
        <v>2025-12</v>
      </c>
    </row>
    <row r="1448" spans="1:6" x14ac:dyDescent="0.2">
      <c r="A1448" s="2">
        <v>45999</v>
      </c>
      <c r="B1448" s="1" t="s">
        <v>663</v>
      </c>
      <c r="C1448" s="1" t="s">
        <v>295</v>
      </c>
      <c r="D1448" s="4">
        <v>800</v>
      </c>
      <c r="E1448" t="str">
        <f t="shared" si="45"/>
        <v>Direct</v>
      </c>
      <c r="F1448" s="13" t="str">
        <f t="shared" si="44"/>
        <v>2025-12</v>
      </c>
    </row>
    <row r="1449" spans="1:6" x14ac:dyDescent="0.2">
      <c r="A1449" s="2">
        <v>45999</v>
      </c>
      <c r="B1449" s="1" t="s">
        <v>273</v>
      </c>
      <c r="C1449" s="1" t="s">
        <v>994</v>
      </c>
      <c r="D1449" s="4">
        <v>350</v>
      </c>
      <c r="E1449" t="str">
        <f t="shared" si="45"/>
        <v>Shared</v>
      </c>
      <c r="F1449" s="13" t="str">
        <f t="shared" si="44"/>
        <v>2025-12</v>
      </c>
    </row>
    <row r="1450" spans="1:6" x14ac:dyDescent="0.2">
      <c r="A1450" s="2">
        <v>45999</v>
      </c>
      <c r="B1450" s="1" t="s">
        <v>274</v>
      </c>
      <c r="C1450" s="1" t="s">
        <v>994</v>
      </c>
      <c r="D1450" s="4">
        <v>2280</v>
      </c>
      <c r="E1450" t="str">
        <f t="shared" si="45"/>
        <v>Shared</v>
      </c>
      <c r="F1450" s="13" t="str">
        <f t="shared" si="44"/>
        <v>2025-12</v>
      </c>
    </row>
    <row r="1451" spans="1:6" x14ac:dyDescent="0.2">
      <c r="A1451" s="2">
        <v>46001</v>
      </c>
      <c r="B1451" s="1" t="s">
        <v>275</v>
      </c>
      <c r="C1451" s="1" t="s">
        <v>994</v>
      </c>
      <c r="D1451" s="4">
        <v>1500</v>
      </c>
      <c r="E1451" t="str">
        <f t="shared" si="45"/>
        <v>Shared</v>
      </c>
      <c r="F1451" s="13" t="str">
        <f t="shared" si="44"/>
        <v>2025-12</v>
      </c>
    </row>
    <row r="1452" spans="1:6" x14ac:dyDescent="0.2">
      <c r="A1452" s="2">
        <v>46001</v>
      </c>
      <c r="B1452" s="1" t="s">
        <v>276</v>
      </c>
      <c r="C1452" s="1" t="s">
        <v>994</v>
      </c>
      <c r="D1452" s="4">
        <v>7800</v>
      </c>
      <c r="E1452" t="str">
        <f t="shared" si="45"/>
        <v>Shared</v>
      </c>
      <c r="F1452" s="13" t="str">
        <f t="shared" si="44"/>
        <v>2025-12</v>
      </c>
    </row>
    <row r="1453" spans="1:6" x14ac:dyDescent="0.2">
      <c r="A1453" s="2">
        <v>46003</v>
      </c>
      <c r="B1453" s="1" t="s">
        <v>985</v>
      </c>
      <c r="C1453" s="1" t="s">
        <v>296</v>
      </c>
      <c r="D1453" s="4">
        <v>11000</v>
      </c>
      <c r="E1453" t="str">
        <f t="shared" si="45"/>
        <v>Direct</v>
      </c>
      <c r="F1453" s="13" t="str">
        <f t="shared" si="44"/>
        <v>2025-12</v>
      </c>
    </row>
    <row r="1454" spans="1:6" x14ac:dyDescent="0.2">
      <c r="A1454" s="2">
        <v>46004</v>
      </c>
      <c r="B1454" s="1" t="s">
        <v>277</v>
      </c>
      <c r="C1454" s="1" t="s">
        <v>994</v>
      </c>
      <c r="D1454" s="4">
        <v>1450</v>
      </c>
      <c r="E1454" t="str">
        <f t="shared" si="45"/>
        <v>Shared</v>
      </c>
      <c r="F1454" s="13" t="str">
        <f t="shared" si="44"/>
        <v>2025-12</v>
      </c>
    </row>
    <row r="1455" spans="1:6" x14ac:dyDescent="0.2">
      <c r="A1455" s="2">
        <v>46006</v>
      </c>
      <c r="B1455" s="1" t="s">
        <v>664</v>
      </c>
      <c r="C1455" s="1" t="s">
        <v>296</v>
      </c>
      <c r="D1455" s="4">
        <v>600</v>
      </c>
      <c r="E1455" t="str">
        <f t="shared" si="45"/>
        <v>Direct</v>
      </c>
      <c r="F1455" s="13" t="str">
        <f t="shared" si="44"/>
        <v>2025-12</v>
      </c>
    </row>
    <row r="1456" spans="1:6" x14ac:dyDescent="0.2">
      <c r="A1456" s="2">
        <v>46006</v>
      </c>
      <c r="B1456" s="1" t="s">
        <v>298</v>
      </c>
      <c r="C1456" s="1" t="s">
        <v>296</v>
      </c>
      <c r="D1456" s="4">
        <v>1100</v>
      </c>
      <c r="E1456" t="str">
        <f t="shared" si="45"/>
        <v>Direct</v>
      </c>
      <c r="F1456" s="13" t="str">
        <f t="shared" si="44"/>
        <v>2025-12</v>
      </c>
    </row>
    <row r="1457" spans="1:6" x14ac:dyDescent="0.2">
      <c r="A1457" s="2">
        <v>46006</v>
      </c>
      <c r="B1457" s="1" t="s">
        <v>183</v>
      </c>
      <c r="C1457" s="1" t="s">
        <v>994</v>
      </c>
      <c r="D1457" s="4">
        <v>2000</v>
      </c>
      <c r="E1457" t="str">
        <f t="shared" si="45"/>
        <v>Shared</v>
      </c>
      <c r="F1457" s="13" t="str">
        <f t="shared" si="44"/>
        <v>2025-12</v>
      </c>
    </row>
    <row r="1458" spans="1:6" x14ac:dyDescent="0.2">
      <c r="A1458" s="2">
        <v>46006</v>
      </c>
      <c r="B1458" s="1" t="s">
        <v>278</v>
      </c>
      <c r="C1458" s="1" t="s">
        <v>994</v>
      </c>
      <c r="D1458" s="4">
        <v>300</v>
      </c>
      <c r="E1458" t="str">
        <f t="shared" si="45"/>
        <v>Shared</v>
      </c>
      <c r="F1458" s="13" t="str">
        <f t="shared" si="44"/>
        <v>2025-12</v>
      </c>
    </row>
    <row r="1459" spans="1:6" x14ac:dyDescent="0.2">
      <c r="A1459" s="2">
        <v>46014</v>
      </c>
      <c r="B1459" s="1" t="s">
        <v>298</v>
      </c>
      <c r="C1459" s="1" t="s">
        <v>295</v>
      </c>
      <c r="D1459" s="4">
        <v>1100</v>
      </c>
      <c r="E1459" t="str">
        <f t="shared" si="45"/>
        <v>Direct</v>
      </c>
      <c r="F1459" s="13" t="str">
        <f t="shared" si="44"/>
        <v>2025-12</v>
      </c>
    </row>
    <row r="1460" spans="1:6" x14ac:dyDescent="0.2">
      <c r="A1460" s="2">
        <v>46015</v>
      </c>
      <c r="B1460" s="1" t="s">
        <v>665</v>
      </c>
      <c r="C1460" s="1" t="s">
        <v>296</v>
      </c>
      <c r="D1460" s="4">
        <v>600</v>
      </c>
      <c r="E1460" t="str">
        <f t="shared" si="45"/>
        <v>Direct</v>
      </c>
      <c r="F1460" s="13" t="str">
        <f t="shared" si="44"/>
        <v>2025-12</v>
      </c>
    </row>
    <row r="1461" spans="1:6" x14ac:dyDescent="0.2">
      <c r="A1461" s="2">
        <v>46015</v>
      </c>
      <c r="B1461" s="1" t="s">
        <v>298</v>
      </c>
      <c r="C1461" s="1" t="s">
        <v>296</v>
      </c>
      <c r="D1461" s="4">
        <v>1100</v>
      </c>
      <c r="E1461" t="str">
        <f t="shared" si="45"/>
        <v>Direct</v>
      </c>
      <c r="F1461" s="13" t="str">
        <f t="shared" si="44"/>
        <v>2025-12</v>
      </c>
    </row>
    <row r="1462" spans="1:6" x14ac:dyDescent="0.2">
      <c r="A1462" s="2">
        <v>46017</v>
      </c>
      <c r="B1462" s="1" t="s">
        <v>279</v>
      </c>
      <c r="C1462" s="1" t="s">
        <v>994</v>
      </c>
      <c r="D1462" s="4">
        <v>900</v>
      </c>
      <c r="E1462" t="str">
        <f t="shared" si="45"/>
        <v>Shared</v>
      </c>
      <c r="F1462" s="13" t="str">
        <f t="shared" si="44"/>
        <v>2025-12</v>
      </c>
    </row>
    <row r="1463" spans="1:6" x14ac:dyDescent="0.2">
      <c r="A1463" s="2">
        <v>46017</v>
      </c>
      <c r="B1463" s="1" t="s">
        <v>9</v>
      </c>
      <c r="C1463" s="1" t="s">
        <v>295</v>
      </c>
      <c r="D1463" s="4">
        <v>220</v>
      </c>
      <c r="E1463" t="str">
        <f t="shared" si="45"/>
        <v>Direct</v>
      </c>
      <c r="F1463" s="13" t="str">
        <f t="shared" si="44"/>
        <v>2025-12</v>
      </c>
    </row>
    <row r="1464" spans="1:6" x14ac:dyDescent="0.2">
      <c r="A1464" s="2">
        <v>46020</v>
      </c>
      <c r="B1464" s="1" t="s">
        <v>280</v>
      </c>
      <c r="C1464" s="1" t="s">
        <v>994</v>
      </c>
      <c r="D1464" s="4">
        <v>500</v>
      </c>
      <c r="E1464" t="str">
        <f t="shared" si="45"/>
        <v>Shared</v>
      </c>
      <c r="F1464" s="13" t="str">
        <f t="shared" si="44"/>
        <v>2025-12</v>
      </c>
    </row>
    <row r="1465" spans="1:6" x14ac:dyDescent="0.2">
      <c r="A1465" s="2">
        <v>46022</v>
      </c>
      <c r="B1465" s="1" t="s">
        <v>363</v>
      </c>
      <c r="C1465" s="1" t="s">
        <v>295</v>
      </c>
      <c r="D1465" s="4">
        <v>900</v>
      </c>
      <c r="E1465" t="str">
        <f t="shared" si="45"/>
        <v>Direct</v>
      </c>
      <c r="F1465" s="13" t="str">
        <f t="shared" si="44"/>
        <v>2025-12</v>
      </c>
    </row>
    <row r="1466" spans="1:6" x14ac:dyDescent="0.2">
      <c r="A1466" s="2">
        <v>46026</v>
      </c>
      <c r="B1466" s="1" t="s">
        <v>314</v>
      </c>
      <c r="C1466" s="1" t="s">
        <v>295</v>
      </c>
      <c r="D1466" s="4">
        <v>2000</v>
      </c>
      <c r="E1466" t="str">
        <f t="shared" si="45"/>
        <v>Direct</v>
      </c>
      <c r="F1466" s="13" t="str">
        <f t="shared" si="44"/>
        <v>2026-01</v>
      </c>
    </row>
    <row r="1467" spans="1:6" x14ac:dyDescent="0.2">
      <c r="A1467" s="2">
        <v>46026</v>
      </c>
      <c r="B1467" s="1" t="s">
        <v>298</v>
      </c>
      <c r="C1467" s="1" t="s">
        <v>296</v>
      </c>
      <c r="D1467" s="4">
        <v>1100</v>
      </c>
      <c r="E1467" t="str">
        <f t="shared" si="45"/>
        <v>Direct</v>
      </c>
      <c r="F1467" s="13" t="str">
        <f t="shared" si="44"/>
        <v>2026-01</v>
      </c>
    </row>
    <row r="1468" spans="1:6" x14ac:dyDescent="0.2">
      <c r="A1468" s="2">
        <v>46026</v>
      </c>
      <c r="B1468" s="1" t="s">
        <v>666</v>
      </c>
      <c r="C1468" s="1" t="s">
        <v>296</v>
      </c>
      <c r="D1468" s="4">
        <v>1600</v>
      </c>
      <c r="E1468" t="str">
        <f t="shared" si="45"/>
        <v>Direct</v>
      </c>
      <c r="F1468" s="13" t="str">
        <f t="shared" si="44"/>
        <v>2026-01</v>
      </c>
    </row>
    <row r="1469" spans="1:6" x14ac:dyDescent="0.2">
      <c r="A1469" s="2">
        <v>46026</v>
      </c>
      <c r="B1469" s="1" t="s">
        <v>222</v>
      </c>
      <c r="C1469" s="1" t="s">
        <v>994</v>
      </c>
      <c r="D1469" s="4">
        <v>500</v>
      </c>
      <c r="E1469" t="str">
        <f t="shared" si="45"/>
        <v>Shared</v>
      </c>
      <c r="F1469" s="13" t="str">
        <f t="shared" si="44"/>
        <v>2026-01</v>
      </c>
    </row>
    <row r="1470" spans="1:6" x14ac:dyDescent="0.2">
      <c r="A1470" s="2">
        <v>46026</v>
      </c>
      <c r="B1470" s="1" t="s">
        <v>183</v>
      </c>
      <c r="C1470" s="1" t="s">
        <v>994</v>
      </c>
      <c r="D1470" s="4">
        <v>5000</v>
      </c>
      <c r="E1470" t="str">
        <f t="shared" si="45"/>
        <v>Shared</v>
      </c>
      <c r="F1470" s="13" t="str">
        <f t="shared" si="44"/>
        <v>2026-01</v>
      </c>
    </row>
    <row r="1471" spans="1:6" x14ac:dyDescent="0.2">
      <c r="A1471" s="2">
        <v>46029</v>
      </c>
      <c r="B1471" s="1" t="s">
        <v>985</v>
      </c>
      <c r="C1471" s="1" t="s">
        <v>295</v>
      </c>
      <c r="D1471" s="4">
        <v>23940</v>
      </c>
      <c r="E1471" t="str">
        <f t="shared" si="45"/>
        <v>Direct</v>
      </c>
      <c r="F1471" s="13" t="str">
        <f t="shared" si="44"/>
        <v>2026-01</v>
      </c>
    </row>
    <row r="1472" spans="1:6" x14ac:dyDescent="0.2">
      <c r="A1472" s="2">
        <v>46030</v>
      </c>
      <c r="B1472" s="1" t="s">
        <v>667</v>
      </c>
      <c r="C1472" s="1" t="s">
        <v>295</v>
      </c>
      <c r="D1472" s="4">
        <v>1300</v>
      </c>
      <c r="E1472" t="str">
        <f t="shared" si="45"/>
        <v>Direct</v>
      </c>
      <c r="F1472" s="13" t="str">
        <f t="shared" si="44"/>
        <v>2026-01</v>
      </c>
    </row>
    <row r="1473" spans="1:6" x14ac:dyDescent="0.2">
      <c r="A1473" s="2">
        <v>46030</v>
      </c>
      <c r="B1473" s="1" t="s">
        <v>314</v>
      </c>
      <c r="C1473" s="1" t="s">
        <v>295</v>
      </c>
      <c r="D1473" s="4">
        <v>2000</v>
      </c>
      <c r="E1473" t="str">
        <f t="shared" si="45"/>
        <v>Direct</v>
      </c>
      <c r="F1473" s="13" t="str">
        <f t="shared" si="44"/>
        <v>2026-01</v>
      </c>
    </row>
    <row r="1474" spans="1:6" x14ac:dyDescent="0.2">
      <c r="A1474" s="2">
        <v>46030</v>
      </c>
      <c r="B1474" s="1" t="s">
        <v>668</v>
      </c>
      <c r="C1474" s="1" t="s">
        <v>295</v>
      </c>
      <c r="D1474" s="4">
        <v>300</v>
      </c>
      <c r="E1474" t="str">
        <f t="shared" si="45"/>
        <v>Direct</v>
      </c>
      <c r="F1474" s="13" t="str">
        <f t="shared" ref="F1474:F1537" si="46">YEAR(A1474)&amp;"-"&amp;TEXT(MONTH(A1474),"00")</f>
        <v>2026-01</v>
      </c>
    </row>
    <row r="1475" spans="1:6" x14ac:dyDescent="0.2">
      <c r="A1475" s="2">
        <v>46033</v>
      </c>
      <c r="B1475" s="1" t="s">
        <v>298</v>
      </c>
      <c r="C1475" s="1" t="s">
        <v>296</v>
      </c>
      <c r="D1475" s="4">
        <v>1100</v>
      </c>
      <c r="E1475" t="str">
        <f t="shared" ref="E1475:E1538" si="47">IF(OR(C1475="A302", C1475="B303", C1475="C301"), "Direct", "Shared")</f>
        <v>Direct</v>
      </c>
      <c r="F1475" s="13" t="str">
        <f t="shared" si="46"/>
        <v>2026-01</v>
      </c>
    </row>
    <row r="1476" spans="1:6" x14ac:dyDescent="0.2">
      <c r="A1476" s="2">
        <v>46034</v>
      </c>
      <c r="B1476" s="1" t="s">
        <v>298</v>
      </c>
      <c r="C1476" s="1" t="s">
        <v>295</v>
      </c>
      <c r="D1476" s="4">
        <v>1100</v>
      </c>
      <c r="E1476" t="str">
        <f t="shared" si="47"/>
        <v>Direct</v>
      </c>
      <c r="F1476" s="13" t="str">
        <f t="shared" si="46"/>
        <v>2026-01</v>
      </c>
    </row>
    <row r="1477" spans="1:6" x14ac:dyDescent="0.2">
      <c r="A1477" s="2">
        <v>46034</v>
      </c>
      <c r="B1477" s="1" t="s">
        <v>633</v>
      </c>
      <c r="C1477" s="1" t="s">
        <v>295</v>
      </c>
      <c r="D1477" s="4">
        <v>350</v>
      </c>
      <c r="E1477" t="str">
        <f t="shared" si="47"/>
        <v>Direct</v>
      </c>
      <c r="F1477" s="13" t="str">
        <f t="shared" si="46"/>
        <v>2026-01</v>
      </c>
    </row>
    <row r="1478" spans="1:6" x14ac:dyDescent="0.2">
      <c r="A1478" s="2">
        <v>46034</v>
      </c>
      <c r="B1478" s="1" t="s">
        <v>985</v>
      </c>
      <c r="C1478" s="1" t="s">
        <v>296</v>
      </c>
      <c r="D1478" s="4">
        <v>11000</v>
      </c>
      <c r="E1478" t="str">
        <f t="shared" si="47"/>
        <v>Direct</v>
      </c>
      <c r="F1478" s="13" t="str">
        <f t="shared" si="46"/>
        <v>2026-01</v>
      </c>
    </row>
    <row r="1479" spans="1:6" x14ac:dyDescent="0.2">
      <c r="A1479" s="2">
        <v>46035</v>
      </c>
      <c r="B1479" s="1" t="s">
        <v>669</v>
      </c>
      <c r="C1479" s="1" t="s">
        <v>295</v>
      </c>
      <c r="D1479" s="4">
        <v>1900</v>
      </c>
      <c r="E1479" t="str">
        <f t="shared" si="47"/>
        <v>Direct</v>
      </c>
      <c r="F1479" s="13" t="str">
        <f t="shared" si="46"/>
        <v>2026-01</v>
      </c>
    </row>
    <row r="1480" spans="1:6" x14ac:dyDescent="0.2">
      <c r="A1480" s="2">
        <v>46035</v>
      </c>
      <c r="B1480" s="1" t="s">
        <v>670</v>
      </c>
      <c r="C1480" s="1" t="s">
        <v>295</v>
      </c>
      <c r="D1480" s="4">
        <v>2368</v>
      </c>
      <c r="E1480" t="str">
        <f t="shared" si="47"/>
        <v>Direct</v>
      </c>
      <c r="F1480" s="13" t="str">
        <f t="shared" si="46"/>
        <v>2026-01</v>
      </c>
    </row>
    <row r="1481" spans="1:6" x14ac:dyDescent="0.2">
      <c r="A1481" s="2">
        <v>46035</v>
      </c>
      <c r="B1481" s="1" t="s">
        <v>670</v>
      </c>
      <c r="C1481" s="1" t="s">
        <v>296</v>
      </c>
      <c r="D1481" s="4">
        <v>3465</v>
      </c>
      <c r="E1481" t="str">
        <f t="shared" si="47"/>
        <v>Direct</v>
      </c>
      <c r="F1481" s="13" t="str">
        <f t="shared" si="46"/>
        <v>2026-01</v>
      </c>
    </row>
    <row r="1482" spans="1:6" x14ac:dyDescent="0.2">
      <c r="A1482" s="2">
        <v>46036</v>
      </c>
      <c r="B1482" s="1" t="s">
        <v>281</v>
      </c>
      <c r="C1482" s="1" t="s">
        <v>994</v>
      </c>
      <c r="D1482" s="4">
        <v>750</v>
      </c>
      <c r="E1482" t="str">
        <f t="shared" si="47"/>
        <v>Shared</v>
      </c>
      <c r="F1482" s="13" t="str">
        <f t="shared" si="46"/>
        <v>2026-01</v>
      </c>
    </row>
    <row r="1483" spans="1:6" x14ac:dyDescent="0.2">
      <c r="A1483" s="2">
        <v>46036</v>
      </c>
      <c r="B1483" s="1" t="s">
        <v>671</v>
      </c>
      <c r="C1483" s="1" t="s">
        <v>295</v>
      </c>
      <c r="D1483" s="4">
        <v>1000</v>
      </c>
      <c r="E1483" t="str">
        <f t="shared" si="47"/>
        <v>Direct</v>
      </c>
      <c r="F1483" s="13" t="str">
        <f t="shared" si="46"/>
        <v>2026-01</v>
      </c>
    </row>
    <row r="1484" spans="1:6" x14ac:dyDescent="0.2">
      <c r="A1484" s="2">
        <v>46036</v>
      </c>
      <c r="B1484" s="1" t="s">
        <v>183</v>
      </c>
      <c r="C1484" s="1" t="s">
        <v>994</v>
      </c>
      <c r="D1484" s="4">
        <v>3000</v>
      </c>
      <c r="E1484" t="str">
        <f t="shared" si="47"/>
        <v>Shared</v>
      </c>
      <c r="F1484" s="13" t="str">
        <f t="shared" si="46"/>
        <v>2026-01</v>
      </c>
    </row>
    <row r="1485" spans="1:6" x14ac:dyDescent="0.2">
      <c r="A1485" s="2">
        <v>46048</v>
      </c>
      <c r="B1485" s="1" t="s">
        <v>314</v>
      </c>
      <c r="C1485" s="1" t="s">
        <v>295</v>
      </c>
      <c r="D1485" s="4">
        <v>2000</v>
      </c>
      <c r="E1485" t="str">
        <f t="shared" si="47"/>
        <v>Direct</v>
      </c>
      <c r="F1485" s="13" t="str">
        <f t="shared" si="46"/>
        <v>2026-01</v>
      </c>
    </row>
    <row r="1486" spans="1:6" x14ac:dyDescent="0.2">
      <c r="A1486" s="2">
        <v>46049</v>
      </c>
      <c r="B1486" s="1" t="s">
        <v>222</v>
      </c>
      <c r="C1486" s="1" t="s">
        <v>994</v>
      </c>
      <c r="D1486" s="4">
        <v>700</v>
      </c>
      <c r="E1486" t="str">
        <f t="shared" si="47"/>
        <v>Shared</v>
      </c>
      <c r="F1486" s="13" t="str">
        <f t="shared" si="46"/>
        <v>2026-01</v>
      </c>
    </row>
    <row r="1487" spans="1:6" x14ac:dyDescent="0.2">
      <c r="A1487" s="2">
        <v>46053</v>
      </c>
      <c r="B1487" s="1" t="s">
        <v>314</v>
      </c>
      <c r="C1487" s="1" t="s">
        <v>295</v>
      </c>
      <c r="D1487" s="4">
        <v>2000</v>
      </c>
      <c r="E1487" t="str">
        <f t="shared" si="47"/>
        <v>Direct</v>
      </c>
      <c r="F1487" s="13" t="str">
        <f t="shared" si="46"/>
        <v>2026-01</v>
      </c>
    </row>
    <row r="1488" spans="1:6" x14ac:dyDescent="0.2">
      <c r="A1488" s="2">
        <v>46054</v>
      </c>
      <c r="B1488" s="1" t="s">
        <v>298</v>
      </c>
      <c r="C1488" s="1" t="s">
        <v>296</v>
      </c>
      <c r="D1488" s="4">
        <v>1100</v>
      </c>
      <c r="E1488" t="str">
        <f t="shared" si="47"/>
        <v>Direct</v>
      </c>
      <c r="F1488" s="13" t="str">
        <f t="shared" si="46"/>
        <v>2026-02</v>
      </c>
    </row>
    <row r="1489" spans="1:6" x14ac:dyDescent="0.2">
      <c r="A1489" s="2">
        <v>46056</v>
      </c>
      <c r="B1489" s="1" t="s">
        <v>9</v>
      </c>
      <c r="C1489" s="1" t="s">
        <v>994</v>
      </c>
      <c r="D1489" s="4">
        <v>960</v>
      </c>
      <c r="E1489" t="str">
        <f t="shared" si="47"/>
        <v>Shared</v>
      </c>
      <c r="F1489" s="13" t="str">
        <f t="shared" si="46"/>
        <v>2026-02</v>
      </c>
    </row>
    <row r="1490" spans="1:6" x14ac:dyDescent="0.2">
      <c r="A1490" s="2">
        <v>46056</v>
      </c>
      <c r="B1490" s="1" t="s">
        <v>282</v>
      </c>
      <c r="C1490" s="1" t="s">
        <v>994</v>
      </c>
      <c r="D1490" s="4">
        <v>2200</v>
      </c>
      <c r="E1490" t="str">
        <f t="shared" si="47"/>
        <v>Shared</v>
      </c>
      <c r="F1490" s="13" t="str">
        <f t="shared" si="46"/>
        <v>2026-02</v>
      </c>
    </row>
    <row r="1491" spans="1:6" x14ac:dyDescent="0.2">
      <c r="A1491" s="2">
        <v>46057</v>
      </c>
      <c r="B1491" s="1" t="s">
        <v>314</v>
      </c>
      <c r="C1491" s="1" t="s">
        <v>295</v>
      </c>
      <c r="D1491" s="4">
        <v>2000</v>
      </c>
      <c r="E1491" t="str">
        <f t="shared" si="47"/>
        <v>Direct</v>
      </c>
      <c r="F1491" s="13" t="str">
        <f t="shared" si="46"/>
        <v>2026-02</v>
      </c>
    </row>
    <row r="1492" spans="1:6" x14ac:dyDescent="0.2">
      <c r="A1492" s="2">
        <v>46060</v>
      </c>
      <c r="B1492" s="1" t="s">
        <v>314</v>
      </c>
      <c r="C1492" s="1" t="s">
        <v>295</v>
      </c>
      <c r="D1492" s="4">
        <v>2000</v>
      </c>
      <c r="E1492" t="str">
        <f t="shared" si="47"/>
        <v>Direct</v>
      </c>
      <c r="F1492" s="13" t="str">
        <f t="shared" si="46"/>
        <v>2026-02</v>
      </c>
    </row>
    <row r="1493" spans="1:6" x14ac:dyDescent="0.2">
      <c r="A1493" s="2">
        <v>46060</v>
      </c>
      <c r="B1493" s="1" t="s">
        <v>985</v>
      </c>
      <c r="C1493" s="1" t="s">
        <v>295</v>
      </c>
      <c r="D1493" s="4">
        <v>20417</v>
      </c>
      <c r="E1493" t="str">
        <f t="shared" si="47"/>
        <v>Direct</v>
      </c>
      <c r="F1493" s="13" t="str">
        <f t="shared" si="46"/>
        <v>2026-02</v>
      </c>
    </row>
    <row r="1494" spans="1:6" x14ac:dyDescent="0.2">
      <c r="A1494" s="2">
        <v>46062</v>
      </c>
      <c r="B1494" s="1" t="s">
        <v>672</v>
      </c>
      <c r="C1494" s="1" t="s">
        <v>295</v>
      </c>
      <c r="D1494" s="4">
        <v>800</v>
      </c>
      <c r="E1494" t="str">
        <f t="shared" si="47"/>
        <v>Direct</v>
      </c>
      <c r="F1494" s="13" t="str">
        <f t="shared" si="46"/>
        <v>2026-02</v>
      </c>
    </row>
    <row r="1495" spans="1:6" x14ac:dyDescent="0.2">
      <c r="A1495" s="2">
        <v>46062</v>
      </c>
      <c r="B1495" s="1" t="s">
        <v>616</v>
      </c>
      <c r="C1495" s="1" t="s">
        <v>295</v>
      </c>
      <c r="D1495" s="4">
        <v>800</v>
      </c>
      <c r="E1495" t="str">
        <f t="shared" si="47"/>
        <v>Direct</v>
      </c>
      <c r="F1495" s="13" t="str">
        <f t="shared" si="46"/>
        <v>2026-02</v>
      </c>
    </row>
    <row r="1496" spans="1:6" x14ac:dyDescent="0.2">
      <c r="A1496" s="2">
        <v>46065</v>
      </c>
      <c r="B1496" s="1" t="s">
        <v>985</v>
      </c>
      <c r="C1496" s="1" t="s">
        <v>296</v>
      </c>
      <c r="D1496" s="4">
        <v>11000</v>
      </c>
      <c r="E1496" t="str">
        <f t="shared" si="47"/>
        <v>Direct</v>
      </c>
      <c r="F1496" s="13" t="str">
        <f t="shared" si="46"/>
        <v>2026-02</v>
      </c>
    </row>
    <row r="1497" spans="1:6" x14ac:dyDescent="0.2">
      <c r="A1497" s="2">
        <v>46066</v>
      </c>
      <c r="B1497" s="1" t="s">
        <v>222</v>
      </c>
      <c r="C1497" s="1" t="s">
        <v>994</v>
      </c>
      <c r="D1497" s="4">
        <v>500</v>
      </c>
      <c r="E1497" t="str">
        <f t="shared" si="47"/>
        <v>Shared</v>
      </c>
      <c r="F1497" s="13" t="str">
        <f t="shared" si="46"/>
        <v>2026-02</v>
      </c>
    </row>
    <row r="1498" spans="1:6" x14ac:dyDescent="0.2">
      <c r="A1498" s="2">
        <v>46066</v>
      </c>
      <c r="B1498" s="1" t="s">
        <v>283</v>
      </c>
      <c r="C1498" s="1" t="s">
        <v>994</v>
      </c>
      <c r="D1498" s="4">
        <v>900</v>
      </c>
      <c r="E1498" t="str">
        <f t="shared" si="47"/>
        <v>Shared</v>
      </c>
      <c r="F1498" s="13" t="str">
        <f t="shared" si="46"/>
        <v>2026-02</v>
      </c>
    </row>
    <row r="1499" spans="1:6" x14ac:dyDescent="0.2">
      <c r="A1499" s="2">
        <v>46066</v>
      </c>
      <c r="B1499" s="1" t="s">
        <v>183</v>
      </c>
      <c r="C1499" s="1" t="s">
        <v>994</v>
      </c>
      <c r="D1499" s="4">
        <v>800</v>
      </c>
      <c r="E1499" t="str">
        <f t="shared" si="47"/>
        <v>Shared</v>
      </c>
      <c r="F1499" s="13" t="str">
        <f t="shared" si="46"/>
        <v>2026-02</v>
      </c>
    </row>
    <row r="1500" spans="1:6" x14ac:dyDescent="0.2">
      <c r="A1500" s="2">
        <v>46066</v>
      </c>
      <c r="B1500" s="1" t="s">
        <v>673</v>
      </c>
      <c r="C1500" s="1" t="s">
        <v>295</v>
      </c>
      <c r="D1500" s="4">
        <v>1000</v>
      </c>
      <c r="E1500" t="str">
        <f t="shared" si="47"/>
        <v>Direct</v>
      </c>
      <c r="F1500" s="13" t="str">
        <f t="shared" si="46"/>
        <v>2026-02</v>
      </c>
    </row>
    <row r="1501" spans="1:6" x14ac:dyDescent="0.2">
      <c r="A1501" s="2">
        <v>46068</v>
      </c>
      <c r="B1501" s="1" t="s">
        <v>314</v>
      </c>
      <c r="C1501" s="1" t="s">
        <v>295</v>
      </c>
      <c r="D1501" s="4">
        <v>2000</v>
      </c>
      <c r="E1501" t="str">
        <f t="shared" si="47"/>
        <v>Direct</v>
      </c>
      <c r="F1501" s="13" t="str">
        <f t="shared" si="46"/>
        <v>2026-02</v>
      </c>
    </row>
    <row r="1502" spans="1:6" x14ac:dyDescent="0.2">
      <c r="A1502" s="2">
        <v>46069</v>
      </c>
      <c r="B1502" s="1" t="s">
        <v>284</v>
      </c>
      <c r="C1502" s="1" t="s">
        <v>994</v>
      </c>
      <c r="D1502" s="4">
        <v>2800</v>
      </c>
      <c r="E1502" t="str">
        <f t="shared" si="47"/>
        <v>Shared</v>
      </c>
      <c r="F1502" s="13" t="str">
        <f t="shared" si="46"/>
        <v>2026-02</v>
      </c>
    </row>
    <row r="1503" spans="1:6" x14ac:dyDescent="0.2">
      <c r="A1503" s="2">
        <v>46070</v>
      </c>
      <c r="B1503" s="1" t="s">
        <v>384</v>
      </c>
      <c r="C1503" s="1" t="s">
        <v>295</v>
      </c>
      <c r="D1503" s="4">
        <v>1100</v>
      </c>
      <c r="E1503" t="str">
        <f t="shared" si="47"/>
        <v>Direct</v>
      </c>
      <c r="F1503" s="13" t="str">
        <f t="shared" si="46"/>
        <v>2026-02</v>
      </c>
    </row>
    <row r="1504" spans="1:6" x14ac:dyDescent="0.2">
      <c r="A1504" s="2">
        <v>46070</v>
      </c>
      <c r="B1504" s="1" t="s">
        <v>285</v>
      </c>
      <c r="C1504" s="1" t="s">
        <v>994</v>
      </c>
      <c r="D1504" s="4">
        <v>320</v>
      </c>
      <c r="E1504" t="str">
        <f t="shared" si="47"/>
        <v>Shared</v>
      </c>
      <c r="F1504" s="13" t="str">
        <f t="shared" si="46"/>
        <v>2026-02</v>
      </c>
    </row>
    <row r="1505" spans="1:6" x14ac:dyDescent="0.2">
      <c r="A1505" s="2">
        <v>46070</v>
      </c>
      <c r="B1505" s="1" t="s">
        <v>674</v>
      </c>
      <c r="C1505" s="1" t="s">
        <v>295</v>
      </c>
      <c r="D1505" s="4">
        <v>990</v>
      </c>
      <c r="E1505" t="str">
        <f t="shared" si="47"/>
        <v>Direct</v>
      </c>
      <c r="F1505" s="13" t="str">
        <f t="shared" si="46"/>
        <v>2026-02</v>
      </c>
    </row>
    <row r="1506" spans="1:6" x14ac:dyDescent="0.2">
      <c r="A1506" s="2">
        <v>46070</v>
      </c>
      <c r="B1506" s="1" t="s">
        <v>286</v>
      </c>
      <c r="C1506" s="1" t="s">
        <v>994</v>
      </c>
      <c r="D1506" s="4">
        <v>900</v>
      </c>
      <c r="E1506" t="str">
        <f t="shared" si="47"/>
        <v>Shared</v>
      </c>
      <c r="F1506" s="13" t="str">
        <f t="shared" si="46"/>
        <v>2026-02</v>
      </c>
    </row>
    <row r="1507" spans="1:6" x14ac:dyDescent="0.2">
      <c r="A1507" s="2">
        <v>46072</v>
      </c>
      <c r="B1507" s="1" t="s">
        <v>1081</v>
      </c>
      <c r="C1507" s="1" t="s">
        <v>295</v>
      </c>
      <c r="D1507" s="4">
        <v>960</v>
      </c>
      <c r="E1507" t="str">
        <f t="shared" si="47"/>
        <v>Direct</v>
      </c>
      <c r="F1507" s="13" t="str">
        <f t="shared" si="46"/>
        <v>2026-02</v>
      </c>
    </row>
    <row r="1508" spans="1:6" x14ac:dyDescent="0.2">
      <c r="A1508" s="2">
        <v>46072</v>
      </c>
      <c r="B1508" s="1" t="s">
        <v>183</v>
      </c>
      <c r="C1508" s="1" t="s">
        <v>994</v>
      </c>
      <c r="D1508" s="4">
        <v>4000</v>
      </c>
      <c r="E1508" t="str">
        <f t="shared" si="47"/>
        <v>Shared</v>
      </c>
      <c r="F1508" s="13" t="str">
        <f t="shared" si="46"/>
        <v>2026-02</v>
      </c>
    </row>
    <row r="1509" spans="1:6" x14ac:dyDescent="0.2">
      <c r="A1509" s="2">
        <v>46073</v>
      </c>
      <c r="B1509" s="1" t="s">
        <v>384</v>
      </c>
      <c r="C1509" s="1" t="s">
        <v>295</v>
      </c>
      <c r="D1509" s="4">
        <v>1100</v>
      </c>
      <c r="E1509" t="str">
        <f t="shared" si="47"/>
        <v>Direct</v>
      </c>
      <c r="F1509" s="13" t="str">
        <f t="shared" si="46"/>
        <v>2026-02</v>
      </c>
    </row>
    <row r="1510" spans="1:6" x14ac:dyDescent="0.2">
      <c r="A1510" s="2">
        <v>46077</v>
      </c>
      <c r="B1510" s="1" t="s">
        <v>674</v>
      </c>
      <c r="C1510" s="1" t="s">
        <v>295</v>
      </c>
      <c r="D1510" s="4">
        <v>590</v>
      </c>
      <c r="E1510" t="str">
        <f t="shared" si="47"/>
        <v>Direct</v>
      </c>
      <c r="F1510" s="13" t="str">
        <f t="shared" si="46"/>
        <v>2026-02</v>
      </c>
    </row>
    <row r="1511" spans="1:6" x14ac:dyDescent="0.2">
      <c r="A1511" s="2">
        <v>46078</v>
      </c>
      <c r="B1511" s="1" t="s">
        <v>384</v>
      </c>
      <c r="C1511" s="1" t="s">
        <v>295</v>
      </c>
      <c r="D1511" s="4">
        <v>1100</v>
      </c>
      <c r="E1511" t="str">
        <f t="shared" si="47"/>
        <v>Direct</v>
      </c>
      <c r="F1511" s="13" t="str">
        <f t="shared" si="46"/>
        <v>2026-02</v>
      </c>
    </row>
    <row r="1512" spans="1:6" x14ac:dyDescent="0.2">
      <c r="A1512" s="2">
        <v>46078</v>
      </c>
      <c r="B1512" s="1" t="s">
        <v>675</v>
      </c>
      <c r="C1512" s="1" t="s">
        <v>296</v>
      </c>
      <c r="D1512" s="4">
        <v>1900</v>
      </c>
      <c r="E1512" t="str">
        <f t="shared" si="47"/>
        <v>Direct</v>
      </c>
      <c r="F1512" s="13" t="str">
        <f t="shared" si="46"/>
        <v>2026-02</v>
      </c>
    </row>
    <row r="1513" spans="1:6" x14ac:dyDescent="0.2">
      <c r="A1513" s="2">
        <v>46079</v>
      </c>
      <c r="B1513" s="1" t="s">
        <v>676</v>
      </c>
      <c r="C1513" s="1" t="s">
        <v>295</v>
      </c>
      <c r="D1513" s="4">
        <v>1900</v>
      </c>
      <c r="E1513" t="str">
        <f t="shared" si="47"/>
        <v>Direct</v>
      </c>
      <c r="F1513" s="13" t="str">
        <f t="shared" si="46"/>
        <v>2026-02</v>
      </c>
    </row>
    <row r="1514" spans="1:6" x14ac:dyDescent="0.2">
      <c r="A1514" s="2">
        <v>46079</v>
      </c>
      <c r="B1514" s="1" t="s">
        <v>287</v>
      </c>
      <c r="C1514" s="1" t="s">
        <v>994</v>
      </c>
      <c r="D1514" s="4">
        <v>6000</v>
      </c>
      <c r="E1514" t="str">
        <f t="shared" si="47"/>
        <v>Shared</v>
      </c>
      <c r="F1514" s="13" t="str">
        <f t="shared" si="46"/>
        <v>2026-02</v>
      </c>
    </row>
    <row r="1515" spans="1:6" x14ac:dyDescent="0.2">
      <c r="A1515" s="2">
        <v>46079</v>
      </c>
      <c r="B1515" s="1" t="s">
        <v>288</v>
      </c>
      <c r="C1515" s="1" t="s">
        <v>994</v>
      </c>
      <c r="D1515" s="4">
        <v>700</v>
      </c>
      <c r="E1515" t="str">
        <f t="shared" si="47"/>
        <v>Shared</v>
      </c>
      <c r="F1515" s="13" t="str">
        <f t="shared" si="46"/>
        <v>2026-02</v>
      </c>
    </row>
    <row r="1516" spans="1:6" x14ac:dyDescent="0.2">
      <c r="A1516" s="2">
        <v>46085</v>
      </c>
      <c r="B1516" s="1" t="s">
        <v>314</v>
      </c>
      <c r="C1516" s="1" t="s">
        <v>295</v>
      </c>
      <c r="D1516" s="4">
        <v>2000</v>
      </c>
      <c r="E1516" t="str">
        <f t="shared" si="47"/>
        <v>Direct</v>
      </c>
      <c r="F1516" s="13" t="str">
        <f t="shared" si="46"/>
        <v>2026-03</v>
      </c>
    </row>
    <row r="1517" spans="1:6" x14ac:dyDescent="0.2">
      <c r="A1517" s="2">
        <v>46087</v>
      </c>
      <c r="B1517" s="1" t="s">
        <v>289</v>
      </c>
      <c r="C1517" s="1" t="s">
        <v>994</v>
      </c>
      <c r="D1517" s="4">
        <v>840</v>
      </c>
      <c r="E1517" t="str">
        <f t="shared" si="47"/>
        <v>Shared</v>
      </c>
      <c r="F1517" s="13" t="str">
        <f t="shared" si="46"/>
        <v>2026-03</v>
      </c>
    </row>
    <row r="1518" spans="1:6" x14ac:dyDescent="0.2">
      <c r="A1518" s="2">
        <v>46087</v>
      </c>
      <c r="B1518" s="1" t="s">
        <v>677</v>
      </c>
      <c r="C1518" s="1" t="s">
        <v>295</v>
      </c>
      <c r="D1518" s="4">
        <v>3200</v>
      </c>
      <c r="E1518" t="str">
        <f t="shared" si="47"/>
        <v>Direct</v>
      </c>
      <c r="F1518" s="13" t="str">
        <f t="shared" si="46"/>
        <v>2026-03</v>
      </c>
    </row>
    <row r="1519" spans="1:6" x14ac:dyDescent="0.2">
      <c r="A1519" s="2">
        <v>46087</v>
      </c>
      <c r="B1519" s="1" t="s">
        <v>290</v>
      </c>
      <c r="C1519" s="1" t="s">
        <v>994</v>
      </c>
      <c r="D1519" s="4">
        <v>500</v>
      </c>
      <c r="E1519" t="str">
        <f t="shared" si="47"/>
        <v>Shared</v>
      </c>
      <c r="F1519" s="13" t="str">
        <f t="shared" si="46"/>
        <v>2026-03</v>
      </c>
    </row>
    <row r="1520" spans="1:6" x14ac:dyDescent="0.2">
      <c r="A1520" s="2">
        <v>46087</v>
      </c>
      <c r="B1520" s="1" t="s">
        <v>183</v>
      </c>
      <c r="C1520" s="1" t="s">
        <v>994</v>
      </c>
      <c r="D1520" s="4">
        <v>4000</v>
      </c>
      <c r="E1520" t="str">
        <f t="shared" si="47"/>
        <v>Shared</v>
      </c>
      <c r="F1520" s="13" t="str">
        <f t="shared" si="46"/>
        <v>2026-03</v>
      </c>
    </row>
    <row r="1521" spans="1:6" x14ac:dyDescent="0.2">
      <c r="A1521" s="2">
        <v>46088</v>
      </c>
      <c r="B1521" s="1" t="s">
        <v>985</v>
      </c>
      <c r="C1521" s="1" t="s">
        <v>295</v>
      </c>
      <c r="D1521" s="4">
        <v>25642</v>
      </c>
      <c r="E1521" t="str">
        <f t="shared" si="47"/>
        <v>Direct</v>
      </c>
      <c r="F1521" s="13" t="str">
        <f t="shared" si="46"/>
        <v>2026-03</v>
      </c>
    </row>
    <row r="1522" spans="1:6" x14ac:dyDescent="0.2">
      <c r="A1522" s="2">
        <v>46091</v>
      </c>
      <c r="B1522" s="1" t="s">
        <v>314</v>
      </c>
      <c r="C1522" s="1" t="s">
        <v>295</v>
      </c>
      <c r="D1522" s="4">
        <v>2000</v>
      </c>
      <c r="E1522" t="str">
        <f t="shared" si="47"/>
        <v>Direct</v>
      </c>
      <c r="F1522" s="13" t="str">
        <f t="shared" si="46"/>
        <v>2026-03</v>
      </c>
    </row>
    <row r="1523" spans="1:6" x14ac:dyDescent="0.2">
      <c r="A1523" s="2">
        <v>46091</v>
      </c>
      <c r="B1523" s="1" t="s">
        <v>291</v>
      </c>
      <c r="C1523" s="1" t="s">
        <v>994</v>
      </c>
      <c r="D1523" s="4">
        <v>230</v>
      </c>
      <c r="E1523" t="str">
        <f t="shared" si="47"/>
        <v>Shared</v>
      </c>
      <c r="F1523" s="13" t="str">
        <f t="shared" si="46"/>
        <v>2026-03</v>
      </c>
    </row>
    <row r="1524" spans="1:6" x14ac:dyDescent="0.2">
      <c r="A1524" s="2">
        <v>46093</v>
      </c>
      <c r="B1524" s="1" t="s">
        <v>985</v>
      </c>
      <c r="C1524" s="1" t="s">
        <v>296</v>
      </c>
      <c r="D1524" s="4">
        <v>11000</v>
      </c>
      <c r="E1524" t="str">
        <f t="shared" si="47"/>
        <v>Direct</v>
      </c>
      <c r="F1524" s="13" t="str">
        <f t="shared" si="46"/>
        <v>2026-03</v>
      </c>
    </row>
    <row r="1525" spans="1:6" x14ac:dyDescent="0.2">
      <c r="A1525" s="2">
        <v>46094</v>
      </c>
      <c r="B1525" s="1" t="s">
        <v>9</v>
      </c>
      <c r="C1525" s="1" t="s">
        <v>295</v>
      </c>
      <c r="D1525" s="4">
        <v>700</v>
      </c>
      <c r="E1525" t="str">
        <f t="shared" si="47"/>
        <v>Direct</v>
      </c>
      <c r="F1525" s="13" t="str">
        <f t="shared" si="46"/>
        <v>2026-03</v>
      </c>
    </row>
    <row r="1526" spans="1:6" x14ac:dyDescent="0.2">
      <c r="A1526" s="2">
        <v>46094</v>
      </c>
      <c r="B1526" s="1" t="s">
        <v>678</v>
      </c>
      <c r="C1526" s="1" t="s">
        <v>295</v>
      </c>
      <c r="D1526" s="4">
        <v>700</v>
      </c>
      <c r="E1526" t="str">
        <f t="shared" si="47"/>
        <v>Direct</v>
      </c>
      <c r="F1526" s="13" t="str">
        <f t="shared" si="46"/>
        <v>2026-03</v>
      </c>
    </row>
    <row r="1527" spans="1:6" x14ac:dyDescent="0.2">
      <c r="A1527" s="2">
        <v>46101</v>
      </c>
      <c r="B1527" s="1" t="s">
        <v>298</v>
      </c>
      <c r="C1527" s="1" t="s">
        <v>295</v>
      </c>
      <c r="D1527" s="4">
        <v>1000</v>
      </c>
      <c r="E1527" t="str">
        <f t="shared" si="47"/>
        <v>Direct</v>
      </c>
      <c r="F1527" s="13" t="str">
        <f t="shared" si="46"/>
        <v>2026-03</v>
      </c>
    </row>
    <row r="1528" spans="1:6" x14ac:dyDescent="0.2">
      <c r="A1528" s="2">
        <v>46101</v>
      </c>
      <c r="B1528" s="1" t="s">
        <v>679</v>
      </c>
      <c r="C1528" s="1" t="s">
        <v>295</v>
      </c>
      <c r="D1528" s="4">
        <v>3200</v>
      </c>
      <c r="E1528" t="str">
        <f t="shared" si="47"/>
        <v>Direct</v>
      </c>
      <c r="F1528" s="13" t="str">
        <f t="shared" si="46"/>
        <v>2026-03</v>
      </c>
    </row>
    <row r="1529" spans="1:6" x14ac:dyDescent="0.2">
      <c r="A1529" s="2">
        <v>46103</v>
      </c>
      <c r="B1529" s="1" t="s">
        <v>314</v>
      </c>
      <c r="C1529" s="1" t="s">
        <v>295</v>
      </c>
      <c r="D1529" s="4">
        <v>2000</v>
      </c>
      <c r="E1529" t="str">
        <f t="shared" si="47"/>
        <v>Direct</v>
      </c>
      <c r="F1529" s="13" t="str">
        <f t="shared" si="46"/>
        <v>2026-03</v>
      </c>
    </row>
    <row r="1530" spans="1:6" x14ac:dyDescent="0.2">
      <c r="A1530" s="2">
        <v>46103</v>
      </c>
      <c r="B1530" s="1" t="s">
        <v>9</v>
      </c>
      <c r="C1530" s="1" t="s">
        <v>295</v>
      </c>
      <c r="D1530" s="4">
        <v>450</v>
      </c>
      <c r="E1530" t="str">
        <f t="shared" si="47"/>
        <v>Direct</v>
      </c>
      <c r="F1530" s="13" t="str">
        <f t="shared" si="46"/>
        <v>2026-03</v>
      </c>
    </row>
    <row r="1531" spans="1:6" x14ac:dyDescent="0.2">
      <c r="A1531" s="2">
        <v>46103</v>
      </c>
      <c r="B1531" s="1" t="s">
        <v>222</v>
      </c>
      <c r="C1531" s="1" t="s">
        <v>994</v>
      </c>
      <c r="D1531" s="4">
        <v>400</v>
      </c>
      <c r="E1531" t="str">
        <f t="shared" si="47"/>
        <v>Shared</v>
      </c>
      <c r="F1531" s="13" t="str">
        <f t="shared" si="46"/>
        <v>2026-03</v>
      </c>
    </row>
    <row r="1532" spans="1:6" x14ac:dyDescent="0.2">
      <c r="A1532" s="2">
        <v>46105</v>
      </c>
      <c r="B1532" s="1" t="s">
        <v>680</v>
      </c>
      <c r="C1532" s="1" t="s">
        <v>295</v>
      </c>
      <c r="D1532" s="4">
        <v>250</v>
      </c>
      <c r="E1532" t="str">
        <f t="shared" si="47"/>
        <v>Direct</v>
      </c>
      <c r="F1532" s="13" t="str">
        <f t="shared" si="46"/>
        <v>2026-03</v>
      </c>
    </row>
    <row r="1533" spans="1:6" x14ac:dyDescent="0.2">
      <c r="A1533" s="2">
        <v>46110</v>
      </c>
      <c r="B1533" s="1" t="s">
        <v>314</v>
      </c>
      <c r="C1533" s="1" t="s">
        <v>295</v>
      </c>
      <c r="D1533" s="4">
        <v>2000</v>
      </c>
      <c r="E1533" t="str">
        <f t="shared" si="47"/>
        <v>Direct</v>
      </c>
      <c r="F1533" s="13" t="str">
        <f t="shared" si="46"/>
        <v>2026-03</v>
      </c>
    </row>
    <row r="1534" spans="1:6" x14ac:dyDescent="0.2">
      <c r="A1534" s="2">
        <v>46110</v>
      </c>
      <c r="B1534" s="1" t="s">
        <v>9</v>
      </c>
      <c r="C1534" s="1" t="s">
        <v>295</v>
      </c>
      <c r="D1534" s="4">
        <v>300</v>
      </c>
      <c r="E1534" t="str">
        <f t="shared" si="47"/>
        <v>Direct</v>
      </c>
      <c r="F1534" s="13" t="str">
        <f t="shared" si="46"/>
        <v>2026-03</v>
      </c>
    </row>
    <row r="1535" spans="1:6" x14ac:dyDescent="0.2">
      <c r="A1535" s="2">
        <v>46117</v>
      </c>
      <c r="B1535" s="1" t="s">
        <v>298</v>
      </c>
      <c r="C1535" s="1" t="s">
        <v>295</v>
      </c>
      <c r="D1535" s="4">
        <v>1000</v>
      </c>
      <c r="E1535" t="str">
        <f t="shared" si="47"/>
        <v>Direct</v>
      </c>
      <c r="F1535" s="13" t="str">
        <f t="shared" si="46"/>
        <v>2026-04</v>
      </c>
    </row>
    <row r="1536" spans="1:6" x14ac:dyDescent="0.2">
      <c r="A1536" s="2">
        <v>46117</v>
      </c>
      <c r="B1536" s="1" t="s">
        <v>9</v>
      </c>
      <c r="C1536" s="1" t="s">
        <v>295</v>
      </c>
      <c r="D1536" s="4">
        <v>600</v>
      </c>
      <c r="E1536" t="str">
        <f t="shared" si="47"/>
        <v>Direct</v>
      </c>
      <c r="F1536" s="13" t="str">
        <f t="shared" si="46"/>
        <v>2026-04</v>
      </c>
    </row>
    <row r="1537" spans="1:6" x14ac:dyDescent="0.2">
      <c r="A1537" s="2">
        <v>46119</v>
      </c>
      <c r="B1537" s="1" t="s">
        <v>985</v>
      </c>
      <c r="C1537" s="1" t="s">
        <v>295</v>
      </c>
      <c r="D1537" s="4">
        <v>25642</v>
      </c>
      <c r="E1537" t="str">
        <f t="shared" si="47"/>
        <v>Direct</v>
      </c>
      <c r="F1537" s="13" t="str">
        <f t="shared" si="46"/>
        <v>2026-04</v>
      </c>
    </row>
    <row r="1538" spans="1:6" x14ac:dyDescent="0.2">
      <c r="A1538" s="2">
        <v>46120</v>
      </c>
      <c r="B1538" s="1" t="s">
        <v>298</v>
      </c>
      <c r="C1538" s="1" t="s">
        <v>295</v>
      </c>
      <c r="D1538" s="4">
        <v>1000</v>
      </c>
      <c r="E1538" t="str">
        <f t="shared" si="47"/>
        <v>Direct</v>
      </c>
      <c r="F1538" s="13" t="str">
        <f t="shared" ref="F1538:F1561" si="48">YEAR(A1538)&amp;"-"&amp;TEXT(MONTH(A1538),"00")</f>
        <v>2026-04</v>
      </c>
    </row>
    <row r="1539" spans="1:6" x14ac:dyDescent="0.2">
      <c r="A1539" s="2">
        <v>46120</v>
      </c>
      <c r="B1539" s="1" t="s">
        <v>616</v>
      </c>
      <c r="C1539" s="1" t="s">
        <v>295</v>
      </c>
      <c r="D1539" s="4">
        <v>750</v>
      </c>
      <c r="E1539" t="str">
        <f t="shared" ref="E1539:E1561" si="49">IF(OR(C1539="A302", C1539="B303", C1539="C301"), "Direct", "Shared")</f>
        <v>Direct</v>
      </c>
      <c r="F1539" s="13" t="str">
        <f t="shared" si="48"/>
        <v>2026-04</v>
      </c>
    </row>
    <row r="1540" spans="1:6" x14ac:dyDescent="0.2">
      <c r="A1540" s="2">
        <v>46122</v>
      </c>
      <c r="B1540" s="1" t="s">
        <v>314</v>
      </c>
      <c r="C1540" s="1" t="s">
        <v>295</v>
      </c>
      <c r="D1540" s="4">
        <v>2000</v>
      </c>
      <c r="E1540" t="str">
        <f t="shared" si="49"/>
        <v>Direct</v>
      </c>
      <c r="F1540" s="13" t="str">
        <f t="shared" si="48"/>
        <v>2026-04</v>
      </c>
    </row>
    <row r="1541" spans="1:6" x14ac:dyDescent="0.2">
      <c r="A1541" s="2">
        <v>46124</v>
      </c>
      <c r="B1541" s="1" t="s">
        <v>985</v>
      </c>
      <c r="C1541" s="1" t="s">
        <v>296</v>
      </c>
      <c r="D1541" s="4">
        <v>11000</v>
      </c>
      <c r="E1541" t="str">
        <f t="shared" si="49"/>
        <v>Direct</v>
      </c>
      <c r="F1541" s="13" t="str">
        <f t="shared" si="48"/>
        <v>2026-04</v>
      </c>
    </row>
    <row r="1542" spans="1:6" x14ac:dyDescent="0.2">
      <c r="A1542" s="2">
        <v>46129</v>
      </c>
      <c r="B1542" s="1" t="s">
        <v>681</v>
      </c>
      <c r="C1542" s="1" t="s">
        <v>295</v>
      </c>
      <c r="D1542" s="4">
        <v>1600</v>
      </c>
      <c r="E1542" t="str">
        <f t="shared" si="49"/>
        <v>Direct</v>
      </c>
      <c r="F1542" s="13" t="str">
        <f t="shared" si="48"/>
        <v>2026-04</v>
      </c>
    </row>
    <row r="1543" spans="1:6" x14ac:dyDescent="0.2">
      <c r="A1543" s="2">
        <v>46135</v>
      </c>
      <c r="B1543" s="1" t="s">
        <v>292</v>
      </c>
      <c r="C1543" s="1" t="s">
        <v>994</v>
      </c>
      <c r="D1543" s="4">
        <v>1300</v>
      </c>
      <c r="E1543" t="str">
        <f t="shared" si="49"/>
        <v>Shared</v>
      </c>
      <c r="F1543" s="13" t="str">
        <f t="shared" si="48"/>
        <v>2026-04</v>
      </c>
    </row>
    <row r="1544" spans="1:6" x14ac:dyDescent="0.2">
      <c r="A1544" s="2">
        <v>46137</v>
      </c>
      <c r="B1544" s="1" t="s">
        <v>682</v>
      </c>
      <c r="C1544" s="1" t="s">
        <v>295</v>
      </c>
      <c r="D1544" s="4">
        <v>800</v>
      </c>
      <c r="E1544" t="str">
        <f t="shared" si="49"/>
        <v>Direct</v>
      </c>
      <c r="F1544" s="13" t="str">
        <f t="shared" si="48"/>
        <v>2026-04</v>
      </c>
    </row>
    <row r="1545" spans="1:6" x14ac:dyDescent="0.2">
      <c r="A1545" s="2">
        <v>46137</v>
      </c>
      <c r="B1545" s="1" t="s">
        <v>683</v>
      </c>
      <c r="C1545" s="1" t="s">
        <v>296</v>
      </c>
      <c r="D1545" s="4">
        <v>600</v>
      </c>
      <c r="E1545" t="str">
        <f t="shared" si="49"/>
        <v>Direct</v>
      </c>
      <c r="F1545" s="13" t="str">
        <f t="shared" si="48"/>
        <v>2026-04</v>
      </c>
    </row>
    <row r="1546" spans="1:6" x14ac:dyDescent="0.2">
      <c r="A1546" s="2">
        <v>46137</v>
      </c>
      <c r="B1546" s="1" t="s">
        <v>298</v>
      </c>
      <c r="C1546" s="1" t="s">
        <v>295</v>
      </c>
      <c r="D1546" s="4">
        <v>1100</v>
      </c>
      <c r="E1546" t="str">
        <f t="shared" si="49"/>
        <v>Direct</v>
      </c>
      <c r="F1546" s="13" t="str">
        <f t="shared" si="48"/>
        <v>2026-04</v>
      </c>
    </row>
    <row r="1547" spans="1:6" x14ac:dyDescent="0.2">
      <c r="A1547" s="2">
        <v>46139</v>
      </c>
      <c r="B1547" s="1" t="s">
        <v>314</v>
      </c>
      <c r="C1547" s="1" t="s">
        <v>295</v>
      </c>
      <c r="D1547" s="4">
        <v>2000</v>
      </c>
      <c r="E1547" t="str">
        <f t="shared" si="49"/>
        <v>Direct</v>
      </c>
      <c r="F1547" s="13" t="str">
        <f t="shared" si="48"/>
        <v>2026-04</v>
      </c>
    </row>
    <row r="1548" spans="1:6" x14ac:dyDescent="0.2">
      <c r="A1548" s="2">
        <v>46139</v>
      </c>
      <c r="B1548" s="1" t="s">
        <v>9</v>
      </c>
      <c r="C1548" s="1" t="s">
        <v>295</v>
      </c>
      <c r="D1548" s="4">
        <v>250</v>
      </c>
      <c r="E1548" t="str">
        <f t="shared" si="49"/>
        <v>Direct</v>
      </c>
      <c r="F1548" s="13" t="str">
        <f t="shared" si="48"/>
        <v>2026-04</v>
      </c>
    </row>
    <row r="1549" spans="1:6" x14ac:dyDescent="0.2">
      <c r="A1549" s="2">
        <v>46139</v>
      </c>
      <c r="B1549" s="1" t="s">
        <v>222</v>
      </c>
      <c r="C1549" s="1" t="s">
        <v>994</v>
      </c>
      <c r="D1549" s="4">
        <v>300</v>
      </c>
      <c r="E1549" t="str">
        <f t="shared" si="49"/>
        <v>Shared</v>
      </c>
      <c r="F1549" s="13" t="str">
        <f t="shared" si="48"/>
        <v>2026-04</v>
      </c>
    </row>
    <row r="1550" spans="1:6" x14ac:dyDescent="0.2">
      <c r="A1550" s="2">
        <v>46140</v>
      </c>
      <c r="B1550" s="1" t="s">
        <v>637</v>
      </c>
      <c r="C1550" s="1" t="s">
        <v>295</v>
      </c>
      <c r="D1550" s="4">
        <v>800</v>
      </c>
      <c r="E1550" t="str">
        <f t="shared" si="49"/>
        <v>Direct</v>
      </c>
      <c r="F1550" s="13" t="str">
        <f t="shared" si="48"/>
        <v>2026-04</v>
      </c>
    </row>
    <row r="1551" spans="1:6" x14ac:dyDescent="0.2">
      <c r="A1551" s="2">
        <v>46142</v>
      </c>
      <c r="B1551" s="1" t="s">
        <v>293</v>
      </c>
      <c r="C1551" s="1" t="s">
        <v>994</v>
      </c>
      <c r="D1551" s="4">
        <v>790</v>
      </c>
      <c r="E1551" t="str">
        <f t="shared" si="49"/>
        <v>Shared</v>
      </c>
      <c r="F1551" s="13" t="str">
        <f t="shared" si="48"/>
        <v>2026-04</v>
      </c>
    </row>
    <row r="1552" spans="1:6" x14ac:dyDescent="0.2">
      <c r="A1552" s="2">
        <v>46142</v>
      </c>
      <c r="B1552" s="1" t="s">
        <v>294</v>
      </c>
      <c r="C1552" s="1" t="s">
        <v>994</v>
      </c>
      <c r="D1552" s="4">
        <v>700</v>
      </c>
      <c r="E1552" t="str">
        <f t="shared" si="49"/>
        <v>Shared</v>
      </c>
      <c r="F1552" s="13" t="str">
        <f t="shared" si="48"/>
        <v>2026-04</v>
      </c>
    </row>
    <row r="1553" spans="1:6" x14ac:dyDescent="0.2">
      <c r="A1553" s="2">
        <v>46147</v>
      </c>
      <c r="B1553" s="1" t="s">
        <v>298</v>
      </c>
      <c r="C1553" s="1" t="s">
        <v>295</v>
      </c>
      <c r="D1553" s="4">
        <v>1100</v>
      </c>
      <c r="E1553" t="str">
        <f t="shared" si="49"/>
        <v>Direct</v>
      </c>
      <c r="F1553" s="13" t="str">
        <f t="shared" si="48"/>
        <v>2026-05</v>
      </c>
    </row>
    <row r="1554" spans="1:6" x14ac:dyDescent="0.2">
      <c r="A1554" s="2">
        <v>46147</v>
      </c>
      <c r="B1554" s="1" t="s">
        <v>9</v>
      </c>
      <c r="C1554" s="1" t="s">
        <v>295</v>
      </c>
      <c r="D1554" s="4">
        <v>350</v>
      </c>
      <c r="E1554" t="str">
        <f t="shared" si="49"/>
        <v>Direct</v>
      </c>
      <c r="F1554" s="13" t="str">
        <f t="shared" si="48"/>
        <v>2026-05</v>
      </c>
    </row>
    <row r="1555" spans="1:6" x14ac:dyDescent="0.2">
      <c r="A1555" s="2">
        <v>46147</v>
      </c>
      <c r="B1555" s="1" t="s">
        <v>684</v>
      </c>
      <c r="C1555" s="1" t="s">
        <v>295</v>
      </c>
      <c r="D1555" s="4">
        <v>500</v>
      </c>
      <c r="E1555" t="str">
        <f t="shared" si="49"/>
        <v>Direct</v>
      </c>
      <c r="F1555" s="13" t="str">
        <f t="shared" si="48"/>
        <v>2026-05</v>
      </c>
    </row>
    <row r="1556" spans="1:6" x14ac:dyDescent="0.2">
      <c r="A1556" s="2">
        <v>46149</v>
      </c>
      <c r="B1556" s="1" t="s">
        <v>985</v>
      </c>
      <c r="C1556" s="1" t="s">
        <v>295</v>
      </c>
      <c r="D1556" s="4">
        <v>27502</v>
      </c>
      <c r="E1556" t="str">
        <f t="shared" si="49"/>
        <v>Direct</v>
      </c>
      <c r="F1556" s="13" t="str">
        <f t="shared" si="48"/>
        <v>2026-05</v>
      </c>
    </row>
    <row r="1557" spans="1:6" x14ac:dyDescent="0.2">
      <c r="A1557" s="2">
        <v>46150</v>
      </c>
      <c r="B1557" s="1" t="s">
        <v>298</v>
      </c>
      <c r="C1557" s="1" t="s">
        <v>296</v>
      </c>
      <c r="D1557" s="4">
        <v>1100</v>
      </c>
      <c r="E1557" t="str">
        <f t="shared" si="49"/>
        <v>Direct</v>
      </c>
      <c r="F1557" s="13" t="str">
        <f t="shared" si="48"/>
        <v>2026-05</v>
      </c>
    </row>
    <row r="1558" spans="1:6" x14ac:dyDescent="0.2">
      <c r="A1558" s="2">
        <v>46154</v>
      </c>
      <c r="B1558" s="1" t="s">
        <v>985</v>
      </c>
      <c r="C1558" s="1" t="s">
        <v>296</v>
      </c>
      <c r="D1558" s="4">
        <v>11000</v>
      </c>
      <c r="E1558" t="str">
        <f t="shared" si="49"/>
        <v>Direct</v>
      </c>
      <c r="F1558" s="13" t="str">
        <f t="shared" si="48"/>
        <v>2026-05</v>
      </c>
    </row>
    <row r="1559" spans="1:6" x14ac:dyDescent="0.2">
      <c r="A1559" s="2">
        <v>46158</v>
      </c>
      <c r="B1559" s="1" t="s">
        <v>685</v>
      </c>
      <c r="C1559" s="1" t="s">
        <v>296</v>
      </c>
      <c r="D1559" s="4">
        <v>1100</v>
      </c>
      <c r="E1559" t="str">
        <f t="shared" si="49"/>
        <v>Direct</v>
      </c>
      <c r="F1559" s="13" t="str">
        <f t="shared" si="48"/>
        <v>2026-05</v>
      </c>
    </row>
    <row r="1560" spans="1:6" x14ac:dyDescent="0.2">
      <c r="A1560" s="2">
        <v>46158</v>
      </c>
      <c r="B1560" s="1" t="s">
        <v>633</v>
      </c>
      <c r="C1560" s="1" t="s">
        <v>295</v>
      </c>
      <c r="D1560" s="4">
        <v>1050</v>
      </c>
      <c r="E1560" t="str">
        <f t="shared" si="49"/>
        <v>Direct</v>
      </c>
      <c r="F1560" s="13" t="str">
        <f t="shared" si="48"/>
        <v>2026-05</v>
      </c>
    </row>
    <row r="1561" spans="1:6" x14ac:dyDescent="0.2">
      <c r="A1561" s="2">
        <v>46160</v>
      </c>
      <c r="B1561" s="1" t="s">
        <v>314</v>
      </c>
      <c r="C1561" s="1" t="s">
        <v>295</v>
      </c>
      <c r="D1561" s="4">
        <v>2000</v>
      </c>
      <c r="E1561" t="str">
        <f t="shared" si="49"/>
        <v>Direct</v>
      </c>
      <c r="F1561" s="13" t="str">
        <f t="shared" si="48"/>
        <v>2026-05</v>
      </c>
    </row>
    <row r="1562" spans="1:6" x14ac:dyDescent="0.2">
      <c r="A1562" s="2"/>
      <c r="B1562" s="1"/>
      <c r="C1562" s="1"/>
      <c r="D1562" s="4"/>
    </row>
    <row r="1563" spans="1:6" x14ac:dyDescent="0.2">
      <c r="A1563" s="2"/>
      <c r="B1563" s="1"/>
      <c r="C1563" s="1"/>
      <c r="D1563" s="4"/>
    </row>
  </sheetData>
  <phoneticPr fontId="6" type="noConversion"/>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9C3D6-BD2C-CA4B-831D-04083EF586A9}">
  <dimension ref="A1:E154"/>
  <sheetViews>
    <sheetView workbookViewId="0">
      <selection activeCell="G7" sqref="G7"/>
    </sheetView>
  </sheetViews>
  <sheetFormatPr baseColWidth="10" defaultRowHeight="16" x14ac:dyDescent="0.2"/>
  <cols>
    <col min="1" max="2" width="11" customWidth="1"/>
    <col min="3" max="3" width="16.33203125" customWidth="1"/>
    <col min="4" max="4" width="17.83203125" customWidth="1"/>
    <col min="5" max="5" width="17.1640625" customWidth="1"/>
  </cols>
  <sheetData>
    <row r="1" spans="1:5" x14ac:dyDescent="0.2">
      <c r="A1" s="13" t="s">
        <v>1089</v>
      </c>
      <c r="B1" t="s">
        <v>1083</v>
      </c>
      <c r="C1" t="s">
        <v>1149</v>
      </c>
      <c r="D1" t="s">
        <v>1150</v>
      </c>
      <c r="E1" t="s">
        <v>1151</v>
      </c>
    </row>
    <row r="2" spans="1:5" x14ac:dyDescent="0.2">
      <c r="A2" s="13" t="s">
        <v>1090</v>
      </c>
      <c r="B2" t="s">
        <v>295</v>
      </c>
      <c r="C2">
        <f>DAY(DATE(VALUE(LEFT(A2,4)),VALUE(RIGHT(A2,2))+1,1)-1)</f>
        <v>31</v>
      </c>
      <c r="D2">
        <v>3</v>
      </c>
      <c r="E2">
        <f>Reference_Nights[[#This Row],[Days_in_month]]-Reference_Nights[[#This Row],[Unavailable_days]]</f>
        <v>28</v>
      </c>
    </row>
    <row r="3" spans="1:5" x14ac:dyDescent="0.2">
      <c r="A3" s="13" t="s">
        <v>1090</v>
      </c>
      <c r="B3" t="s">
        <v>296</v>
      </c>
      <c r="C3">
        <f>DAY(DATE(VALUE(LEFT(A3,4)),VALUE(RIGHT(A3,2))+1,1)-1)</f>
        <v>31</v>
      </c>
      <c r="D3">
        <v>3</v>
      </c>
      <c r="E3">
        <f>Reference_Nights[[#This Row],[Days_in_month]]-Reference_Nights[[#This Row],[Unavailable_days]]</f>
        <v>28</v>
      </c>
    </row>
    <row r="4" spans="1:5" x14ac:dyDescent="0.2">
      <c r="A4" t="s">
        <v>1090</v>
      </c>
      <c r="B4" t="s">
        <v>297</v>
      </c>
      <c r="C4">
        <f>DAY(DATE(VALUE(LEFT(A4,4)),VALUE(RIGHT(A4,2))+1,1)-1)</f>
        <v>31</v>
      </c>
      <c r="D4">
        <v>3</v>
      </c>
      <c r="E4">
        <f>Reference_Nights[[#This Row],[Days_in_month]]-Reference_Nights[[#This Row],[Unavailable_days]]</f>
        <v>28</v>
      </c>
    </row>
    <row r="5" spans="1:5" x14ac:dyDescent="0.2">
      <c r="A5" s="13" t="s">
        <v>1091</v>
      </c>
      <c r="B5" t="s">
        <v>295</v>
      </c>
      <c r="C5">
        <f t="shared" ref="C5:C12" si="0">DAY(DATE(VALUE(LEFT(A5,4)),VALUE(RIGHT(A5,2))+1,1)-1)</f>
        <v>30</v>
      </c>
      <c r="D5">
        <v>3</v>
      </c>
      <c r="E5">
        <f>Reference_Nights[[#This Row],[Days_in_month]]-Reference_Nights[[#This Row],[Unavailable_days]]</f>
        <v>27</v>
      </c>
    </row>
    <row r="6" spans="1:5" x14ac:dyDescent="0.2">
      <c r="A6" s="13" t="s">
        <v>1091</v>
      </c>
      <c r="B6" t="s">
        <v>296</v>
      </c>
      <c r="C6">
        <f t="shared" si="0"/>
        <v>30</v>
      </c>
      <c r="D6">
        <v>3</v>
      </c>
      <c r="E6">
        <f>Reference_Nights[[#This Row],[Days_in_month]]-Reference_Nights[[#This Row],[Unavailable_days]]</f>
        <v>27</v>
      </c>
    </row>
    <row r="7" spans="1:5" x14ac:dyDescent="0.2">
      <c r="A7" t="s">
        <v>1091</v>
      </c>
      <c r="B7" t="s">
        <v>297</v>
      </c>
      <c r="C7">
        <f t="shared" si="0"/>
        <v>30</v>
      </c>
      <c r="D7">
        <v>3</v>
      </c>
      <c r="E7">
        <f>Reference_Nights[[#This Row],[Days_in_month]]-Reference_Nights[[#This Row],[Unavailable_days]]</f>
        <v>27</v>
      </c>
    </row>
    <row r="8" spans="1:5" x14ac:dyDescent="0.2">
      <c r="A8" s="13" t="s">
        <v>1092</v>
      </c>
      <c r="B8" t="s">
        <v>295</v>
      </c>
      <c r="C8">
        <f t="shared" si="0"/>
        <v>31</v>
      </c>
      <c r="D8">
        <v>3</v>
      </c>
      <c r="E8">
        <f>Reference_Nights[[#This Row],[Days_in_month]]-Reference_Nights[[#This Row],[Unavailable_days]]</f>
        <v>28</v>
      </c>
    </row>
    <row r="9" spans="1:5" x14ac:dyDescent="0.2">
      <c r="A9" s="13" t="s">
        <v>1092</v>
      </c>
      <c r="B9" t="s">
        <v>296</v>
      </c>
      <c r="C9">
        <f t="shared" si="0"/>
        <v>31</v>
      </c>
      <c r="D9">
        <v>3</v>
      </c>
      <c r="E9">
        <f>Reference_Nights[[#This Row],[Days_in_month]]-Reference_Nights[[#This Row],[Unavailable_days]]</f>
        <v>28</v>
      </c>
    </row>
    <row r="10" spans="1:5" x14ac:dyDescent="0.2">
      <c r="A10" t="s">
        <v>1092</v>
      </c>
      <c r="B10" t="s">
        <v>297</v>
      </c>
      <c r="C10">
        <f t="shared" si="0"/>
        <v>31</v>
      </c>
      <c r="D10">
        <v>3</v>
      </c>
      <c r="E10">
        <f>Reference_Nights[[#This Row],[Days_in_month]]-Reference_Nights[[#This Row],[Unavailable_days]]</f>
        <v>28</v>
      </c>
    </row>
    <row r="11" spans="1:5" x14ac:dyDescent="0.2">
      <c r="A11" s="13" t="s">
        <v>1093</v>
      </c>
      <c r="B11" t="s">
        <v>295</v>
      </c>
      <c r="C11">
        <f t="shared" si="0"/>
        <v>30</v>
      </c>
      <c r="D11">
        <v>3</v>
      </c>
      <c r="E11">
        <f>Reference_Nights[[#This Row],[Days_in_month]]-Reference_Nights[[#This Row],[Unavailable_days]]</f>
        <v>27</v>
      </c>
    </row>
    <row r="12" spans="1:5" x14ac:dyDescent="0.2">
      <c r="A12" s="13" t="s">
        <v>1093</v>
      </c>
      <c r="B12" t="s">
        <v>296</v>
      </c>
      <c r="C12">
        <f t="shared" si="0"/>
        <v>30</v>
      </c>
      <c r="D12">
        <v>3</v>
      </c>
      <c r="E12">
        <f>Reference_Nights[[#This Row],[Days_in_month]]-Reference_Nights[[#This Row],[Unavailable_days]]</f>
        <v>27</v>
      </c>
    </row>
    <row r="13" spans="1:5" x14ac:dyDescent="0.2">
      <c r="A13" t="s">
        <v>1093</v>
      </c>
      <c r="B13" t="s">
        <v>297</v>
      </c>
      <c r="C13">
        <f>DAY(DATE(VALUE(LEFT(A13,4)),VALUE(RIGHT(A13,2))+1,1)-1)</f>
        <v>30</v>
      </c>
      <c r="D13">
        <v>3</v>
      </c>
      <c r="E13">
        <f>Reference_Nights[[#This Row],[Days_in_month]]-Reference_Nights[[#This Row],[Unavailable_days]]</f>
        <v>27</v>
      </c>
    </row>
    <row r="14" spans="1:5" x14ac:dyDescent="0.2">
      <c r="A14" s="13" t="s">
        <v>1094</v>
      </c>
      <c r="B14" t="s">
        <v>295</v>
      </c>
      <c r="C14">
        <f>DAY(DATE(VALUE(LEFT(A14,4)),VALUE(RIGHT(A14,2))+1,1)-1)</f>
        <v>31</v>
      </c>
      <c r="D14">
        <v>3</v>
      </c>
      <c r="E14">
        <f>Reference_Nights[[#This Row],[Days_in_month]]-Reference_Nights[[#This Row],[Unavailable_days]]</f>
        <v>28</v>
      </c>
    </row>
    <row r="15" spans="1:5" x14ac:dyDescent="0.2">
      <c r="A15" s="13" t="s">
        <v>1094</v>
      </c>
      <c r="B15" t="s">
        <v>296</v>
      </c>
      <c r="C15">
        <f t="shared" ref="C15:C50" si="1">DAY(DATE(VALUE(LEFT(A15,4)),VALUE(RIGHT(A15,2))+1,1)-1)</f>
        <v>31</v>
      </c>
      <c r="D15">
        <v>3</v>
      </c>
      <c r="E15">
        <f>Reference_Nights[[#This Row],[Days_in_month]]-Reference_Nights[[#This Row],[Unavailable_days]]</f>
        <v>28</v>
      </c>
    </row>
    <row r="16" spans="1:5" x14ac:dyDescent="0.2">
      <c r="A16" t="s">
        <v>1094</v>
      </c>
      <c r="B16" t="s">
        <v>297</v>
      </c>
      <c r="C16">
        <f t="shared" si="1"/>
        <v>31</v>
      </c>
      <c r="D16">
        <v>3</v>
      </c>
      <c r="E16">
        <f>Reference_Nights[[#This Row],[Days_in_month]]-Reference_Nights[[#This Row],[Unavailable_days]]</f>
        <v>28</v>
      </c>
    </row>
    <row r="17" spans="1:5" x14ac:dyDescent="0.2">
      <c r="A17" s="13" t="s">
        <v>1095</v>
      </c>
      <c r="B17" t="s">
        <v>295</v>
      </c>
      <c r="C17">
        <f t="shared" si="1"/>
        <v>31</v>
      </c>
      <c r="D17">
        <v>3</v>
      </c>
      <c r="E17">
        <f>Reference_Nights[[#This Row],[Days_in_month]]-Reference_Nights[[#This Row],[Unavailable_days]]</f>
        <v>28</v>
      </c>
    </row>
    <row r="18" spans="1:5" x14ac:dyDescent="0.2">
      <c r="A18" s="13" t="s">
        <v>1095</v>
      </c>
      <c r="B18" t="s">
        <v>296</v>
      </c>
      <c r="C18">
        <f t="shared" si="1"/>
        <v>31</v>
      </c>
      <c r="D18">
        <v>3</v>
      </c>
      <c r="E18">
        <f>Reference_Nights[[#This Row],[Days_in_month]]-Reference_Nights[[#This Row],[Unavailable_days]]</f>
        <v>28</v>
      </c>
    </row>
    <row r="19" spans="1:5" x14ac:dyDescent="0.2">
      <c r="A19" t="s">
        <v>1095</v>
      </c>
      <c r="B19" t="s">
        <v>297</v>
      </c>
      <c r="C19">
        <f t="shared" si="1"/>
        <v>31</v>
      </c>
      <c r="D19">
        <v>3</v>
      </c>
      <c r="E19">
        <f>Reference_Nights[[#This Row],[Days_in_month]]-Reference_Nights[[#This Row],[Unavailable_days]]</f>
        <v>28</v>
      </c>
    </row>
    <row r="20" spans="1:5" x14ac:dyDescent="0.2">
      <c r="A20" s="13" t="s">
        <v>1096</v>
      </c>
      <c r="B20" t="s">
        <v>295</v>
      </c>
      <c r="C20">
        <f t="shared" si="1"/>
        <v>30</v>
      </c>
      <c r="D20">
        <v>3</v>
      </c>
      <c r="E20">
        <f>Reference_Nights[[#This Row],[Days_in_month]]-Reference_Nights[[#This Row],[Unavailable_days]]</f>
        <v>27</v>
      </c>
    </row>
    <row r="21" spans="1:5" x14ac:dyDescent="0.2">
      <c r="A21" s="13" t="s">
        <v>1096</v>
      </c>
      <c r="B21" t="s">
        <v>296</v>
      </c>
      <c r="C21">
        <f t="shared" si="1"/>
        <v>30</v>
      </c>
      <c r="D21">
        <v>3</v>
      </c>
      <c r="E21">
        <f>Reference_Nights[[#This Row],[Days_in_month]]-Reference_Nights[[#This Row],[Unavailable_days]]</f>
        <v>27</v>
      </c>
    </row>
    <row r="22" spans="1:5" x14ac:dyDescent="0.2">
      <c r="A22" t="s">
        <v>1096</v>
      </c>
      <c r="B22" t="s">
        <v>297</v>
      </c>
      <c r="C22">
        <f t="shared" si="1"/>
        <v>30</v>
      </c>
      <c r="D22">
        <v>3</v>
      </c>
      <c r="E22">
        <f>Reference_Nights[[#This Row],[Days_in_month]]-Reference_Nights[[#This Row],[Unavailable_days]]</f>
        <v>27</v>
      </c>
    </row>
    <row r="23" spans="1:5" x14ac:dyDescent="0.2">
      <c r="A23" s="13" t="s">
        <v>1097</v>
      </c>
      <c r="B23" t="s">
        <v>295</v>
      </c>
      <c r="C23">
        <f t="shared" si="1"/>
        <v>31</v>
      </c>
      <c r="D23">
        <v>3</v>
      </c>
      <c r="E23">
        <f>Reference_Nights[[#This Row],[Days_in_month]]-Reference_Nights[[#This Row],[Unavailable_days]]</f>
        <v>28</v>
      </c>
    </row>
    <row r="24" spans="1:5" x14ac:dyDescent="0.2">
      <c r="A24" s="13" t="s">
        <v>1097</v>
      </c>
      <c r="B24" t="s">
        <v>296</v>
      </c>
      <c r="C24">
        <f t="shared" si="1"/>
        <v>31</v>
      </c>
      <c r="D24">
        <v>3</v>
      </c>
      <c r="E24">
        <f>Reference_Nights[[#This Row],[Days_in_month]]-Reference_Nights[[#This Row],[Unavailable_days]]</f>
        <v>28</v>
      </c>
    </row>
    <row r="25" spans="1:5" x14ac:dyDescent="0.2">
      <c r="A25" t="s">
        <v>1097</v>
      </c>
      <c r="B25" t="s">
        <v>297</v>
      </c>
      <c r="C25">
        <f t="shared" si="1"/>
        <v>31</v>
      </c>
      <c r="D25">
        <v>3</v>
      </c>
      <c r="E25">
        <f>Reference_Nights[[#This Row],[Days_in_month]]-Reference_Nights[[#This Row],[Unavailable_days]]</f>
        <v>28</v>
      </c>
    </row>
    <row r="26" spans="1:5" x14ac:dyDescent="0.2">
      <c r="A26" s="13" t="s">
        <v>1098</v>
      </c>
      <c r="B26" t="s">
        <v>295</v>
      </c>
      <c r="C26">
        <f t="shared" si="1"/>
        <v>30</v>
      </c>
      <c r="D26">
        <v>3</v>
      </c>
      <c r="E26">
        <f>Reference_Nights[[#This Row],[Days_in_month]]-Reference_Nights[[#This Row],[Unavailable_days]]</f>
        <v>27</v>
      </c>
    </row>
    <row r="27" spans="1:5" x14ac:dyDescent="0.2">
      <c r="A27" s="13" t="s">
        <v>1098</v>
      </c>
      <c r="B27" t="s">
        <v>296</v>
      </c>
      <c r="C27">
        <f t="shared" si="1"/>
        <v>30</v>
      </c>
      <c r="D27">
        <v>3</v>
      </c>
      <c r="E27">
        <f>Reference_Nights[[#This Row],[Days_in_month]]-Reference_Nights[[#This Row],[Unavailable_days]]</f>
        <v>27</v>
      </c>
    </row>
    <row r="28" spans="1:5" x14ac:dyDescent="0.2">
      <c r="A28" t="s">
        <v>1098</v>
      </c>
      <c r="B28" t="s">
        <v>297</v>
      </c>
      <c r="C28">
        <f t="shared" si="1"/>
        <v>30</v>
      </c>
      <c r="D28">
        <v>3</v>
      </c>
      <c r="E28">
        <f>Reference_Nights[[#This Row],[Days_in_month]]-Reference_Nights[[#This Row],[Unavailable_days]]</f>
        <v>27</v>
      </c>
    </row>
    <row r="29" spans="1:5" x14ac:dyDescent="0.2">
      <c r="A29" s="13" t="s">
        <v>1099</v>
      </c>
      <c r="B29" t="s">
        <v>295</v>
      </c>
      <c r="C29">
        <f t="shared" si="1"/>
        <v>31</v>
      </c>
      <c r="D29">
        <v>3</v>
      </c>
      <c r="E29">
        <f>Reference_Nights[[#This Row],[Days_in_month]]-Reference_Nights[[#This Row],[Unavailable_days]]</f>
        <v>28</v>
      </c>
    </row>
    <row r="30" spans="1:5" x14ac:dyDescent="0.2">
      <c r="A30" s="13" t="s">
        <v>1099</v>
      </c>
      <c r="B30" t="s">
        <v>296</v>
      </c>
      <c r="C30">
        <f t="shared" si="1"/>
        <v>31</v>
      </c>
      <c r="D30">
        <v>3</v>
      </c>
      <c r="E30">
        <f>Reference_Nights[[#This Row],[Days_in_month]]-Reference_Nights[[#This Row],[Unavailable_days]]</f>
        <v>28</v>
      </c>
    </row>
    <row r="31" spans="1:5" x14ac:dyDescent="0.2">
      <c r="A31" t="s">
        <v>1099</v>
      </c>
      <c r="B31" t="s">
        <v>297</v>
      </c>
      <c r="C31">
        <f t="shared" si="1"/>
        <v>31</v>
      </c>
      <c r="D31">
        <v>3</v>
      </c>
      <c r="E31">
        <f>Reference_Nights[[#This Row],[Days_in_month]]-Reference_Nights[[#This Row],[Unavailable_days]]</f>
        <v>28</v>
      </c>
    </row>
    <row r="32" spans="1:5" x14ac:dyDescent="0.2">
      <c r="A32" s="13" t="s">
        <v>1100</v>
      </c>
      <c r="B32" t="s">
        <v>295</v>
      </c>
      <c r="C32">
        <f t="shared" si="1"/>
        <v>31</v>
      </c>
      <c r="D32">
        <v>3</v>
      </c>
      <c r="E32">
        <f>Reference_Nights[[#This Row],[Days_in_month]]-Reference_Nights[[#This Row],[Unavailable_days]]</f>
        <v>28</v>
      </c>
    </row>
    <row r="33" spans="1:5" x14ac:dyDescent="0.2">
      <c r="A33" s="13" t="s">
        <v>1100</v>
      </c>
      <c r="B33" t="s">
        <v>296</v>
      </c>
      <c r="C33">
        <f t="shared" si="1"/>
        <v>31</v>
      </c>
      <c r="D33">
        <v>3</v>
      </c>
      <c r="E33">
        <f>Reference_Nights[[#This Row],[Days_in_month]]-Reference_Nights[[#This Row],[Unavailable_days]]</f>
        <v>28</v>
      </c>
    </row>
    <row r="34" spans="1:5" x14ac:dyDescent="0.2">
      <c r="A34" t="s">
        <v>1100</v>
      </c>
      <c r="B34" t="s">
        <v>297</v>
      </c>
      <c r="C34">
        <f t="shared" si="1"/>
        <v>31</v>
      </c>
      <c r="D34">
        <v>3</v>
      </c>
      <c r="E34">
        <f>Reference_Nights[[#This Row],[Days_in_month]]-Reference_Nights[[#This Row],[Unavailable_days]]</f>
        <v>28</v>
      </c>
    </row>
    <row r="35" spans="1:5" x14ac:dyDescent="0.2">
      <c r="A35" s="13" t="s">
        <v>1101</v>
      </c>
      <c r="B35" t="s">
        <v>295</v>
      </c>
      <c r="C35">
        <f t="shared" si="1"/>
        <v>28</v>
      </c>
      <c r="D35">
        <v>3</v>
      </c>
      <c r="E35">
        <f>Reference_Nights[[#This Row],[Days_in_month]]-Reference_Nights[[#This Row],[Unavailable_days]]</f>
        <v>25</v>
      </c>
    </row>
    <row r="36" spans="1:5" x14ac:dyDescent="0.2">
      <c r="A36" s="13" t="s">
        <v>1101</v>
      </c>
      <c r="B36" t="s">
        <v>296</v>
      </c>
      <c r="C36">
        <f t="shared" si="1"/>
        <v>28</v>
      </c>
      <c r="D36">
        <v>3</v>
      </c>
      <c r="E36">
        <f>Reference_Nights[[#This Row],[Days_in_month]]-Reference_Nights[[#This Row],[Unavailable_days]]</f>
        <v>25</v>
      </c>
    </row>
    <row r="37" spans="1:5" x14ac:dyDescent="0.2">
      <c r="A37" t="s">
        <v>1101</v>
      </c>
      <c r="B37" t="s">
        <v>297</v>
      </c>
      <c r="C37">
        <f t="shared" si="1"/>
        <v>28</v>
      </c>
      <c r="D37">
        <v>3</v>
      </c>
      <c r="E37">
        <f>Reference_Nights[[#This Row],[Days_in_month]]-Reference_Nights[[#This Row],[Unavailable_days]]</f>
        <v>25</v>
      </c>
    </row>
    <row r="38" spans="1:5" x14ac:dyDescent="0.2">
      <c r="A38" s="13" t="s">
        <v>1102</v>
      </c>
      <c r="B38" t="s">
        <v>295</v>
      </c>
      <c r="C38">
        <f t="shared" si="1"/>
        <v>31</v>
      </c>
      <c r="D38">
        <v>3</v>
      </c>
      <c r="E38">
        <f>Reference_Nights[[#This Row],[Days_in_month]]-Reference_Nights[[#This Row],[Unavailable_days]]</f>
        <v>28</v>
      </c>
    </row>
    <row r="39" spans="1:5" x14ac:dyDescent="0.2">
      <c r="A39" s="13" t="s">
        <v>1102</v>
      </c>
      <c r="B39" t="s">
        <v>296</v>
      </c>
      <c r="C39">
        <f t="shared" si="1"/>
        <v>31</v>
      </c>
      <c r="D39">
        <v>3</v>
      </c>
      <c r="E39">
        <f>Reference_Nights[[#This Row],[Days_in_month]]-Reference_Nights[[#This Row],[Unavailable_days]]</f>
        <v>28</v>
      </c>
    </row>
    <row r="40" spans="1:5" x14ac:dyDescent="0.2">
      <c r="A40" t="s">
        <v>1102</v>
      </c>
      <c r="B40" t="s">
        <v>297</v>
      </c>
      <c r="C40">
        <f t="shared" si="1"/>
        <v>31</v>
      </c>
      <c r="D40">
        <v>3</v>
      </c>
      <c r="E40">
        <f>Reference_Nights[[#This Row],[Days_in_month]]-Reference_Nights[[#This Row],[Unavailable_days]]</f>
        <v>28</v>
      </c>
    </row>
    <row r="41" spans="1:5" x14ac:dyDescent="0.2">
      <c r="A41" s="13" t="s">
        <v>1103</v>
      </c>
      <c r="B41" t="s">
        <v>295</v>
      </c>
      <c r="C41">
        <f t="shared" si="1"/>
        <v>30</v>
      </c>
      <c r="D41">
        <v>3</v>
      </c>
      <c r="E41">
        <f>Reference_Nights[[#This Row],[Days_in_month]]-Reference_Nights[[#This Row],[Unavailable_days]]</f>
        <v>27</v>
      </c>
    </row>
    <row r="42" spans="1:5" x14ac:dyDescent="0.2">
      <c r="A42" s="13" t="s">
        <v>1103</v>
      </c>
      <c r="B42" t="s">
        <v>296</v>
      </c>
      <c r="C42">
        <f t="shared" si="1"/>
        <v>30</v>
      </c>
      <c r="D42">
        <v>3</v>
      </c>
      <c r="E42">
        <f>Reference_Nights[[#This Row],[Days_in_month]]-Reference_Nights[[#This Row],[Unavailable_days]]</f>
        <v>27</v>
      </c>
    </row>
    <row r="43" spans="1:5" x14ac:dyDescent="0.2">
      <c r="A43" t="s">
        <v>1103</v>
      </c>
      <c r="B43" t="s">
        <v>297</v>
      </c>
      <c r="C43">
        <f t="shared" si="1"/>
        <v>30</v>
      </c>
      <c r="D43">
        <v>3</v>
      </c>
      <c r="E43">
        <f>Reference_Nights[[#This Row],[Days_in_month]]-Reference_Nights[[#This Row],[Unavailable_days]]</f>
        <v>27</v>
      </c>
    </row>
    <row r="44" spans="1:5" x14ac:dyDescent="0.2">
      <c r="A44" s="13" t="s">
        <v>1104</v>
      </c>
      <c r="B44" t="s">
        <v>295</v>
      </c>
      <c r="C44">
        <f t="shared" si="1"/>
        <v>31</v>
      </c>
      <c r="D44">
        <v>3</v>
      </c>
      <c r="E44">
        <f>Reference_Nights[[#This Row],[Days_in_month]]-Reference_Nights[[#This Row],[Unavailable_days]]</f>
        <v>28</v>
      </c>
    </row>
    <row r="45" spans="1:5" x14ac:dyDescent="0.2">
      <c r="A45" s="13" t="s">
        <v>1104</v>
      </c>
      <c r="B45" t="s">
        <v>296</v>
      </c>
      <c r="C45">
        <f t="shared" si="1"/>
        <v>31</v>
      </c>
      <c r="D45">
        <v>3</v>
      </c>
      <c r="E45">
        <f>Reference_Nights[[#This Row],[Days_in_month]]-Reference_Nights[[#This Row],[Unavailable_days]]</f>
        <v>28</v>
      </c>
    </row>
    <row r="46" spans="1:5" x14ac:dyDescent="0.2">
      <c r="A46" t="s">
        <v>1104</v>
      </c>
      <c r="B46" t="s">
        <v>297</v>
      </c>
      <c r="C46">
        <f t="shared" si="1"/>
        <v>31</v>
      </c>
      <c r="D46">
        <v>3</v>
      </c>
      <c r="E46">
        <f>Reference_Nights[[#This Row],[Days_in_month]]-Reference_Nights[[#This Row],[Unavailable_days]]</f>
        <v>28</v>
      </c>
    </row>
    <row r="47" spans="1:5" x14ac:dyDescent="0.2">
      <c r="A47" s="13" t="s">
        <v>1105</v>
      </c>
      <c r="B47" t="s">
        <v>295</v>
      </c>
      <c r="C47">
        <f t="shared" si="1"/>
        <v>30</v>
      </c>
      <c r="D47">
        <v>3</v>
      </c>
      <c r="E47">
        <f>Reference_Nights[[#This Row],[Days_in_month]]-Reference_Nights[[#This Row],[Unavailable_days]]</f>
        <v>27</v>
      </c>
    </row>
    <row r="48" spans="1:5" x14ac:dyDescent="0.2">
      <c r="A48" s="13" t="s">
        <v>1105</v>
      </c>
      <c r="B48" t="s">
        <v>296</v>
      </c>
      <c r="C48">
        <f t="shared" si="1"/>
        <v>30</v>
      </c>
      <c r="D48">
        <v>3</v>
      </c>
      <c r="E48">
        <f>Reference_Nights[[#This Row],[Days_in_month]]-Reference_Nights[[#This Row],[Unavailable_days]]</f>
        <v>27</v>
      </c>
    </row>
    <row r="49" spans="1:5" x14ac:dyDescent="0.2">
      <c r="A49" t="s">
        <v>1105</v>
      </c>
      <c r="B49" t="s">
        <v>297</v>
      </c>
      <c r="C49">
        <f t="shared" si="1"/>
        <v>30</v>
      </c>
      <c r="D49">
        <v>3</v>
      </c>
      <c r="E49">
        <f>Reference_Nights[[#This Row],[Days_in_month]]-Reference_Nights[[#This Row],[Unavailable_days]]</f>
        <v>27</v>
      </c>
    </row>
    <row r="50" spans="1:5" x14ac:dyDescent="0.2">
      <c r="A50" s="13" t="s">
        <v>1106</v>
      </c>
      <c r="B50" t="s">
        <v>295</v>
      </c>
      <c r="C50">
        <f t="shared" si="1"/>
        <v>31</v>
      </c>
      <c r="D50">
        <v>3</v>
      </c>
      <c r="E50">
        <f>Reference_Nights[[#This Row],[Days_in_month]]-Reference_Nights[[#This Row],[Unavailable_days]]</f>
        <v>28</v>
      </c>
    </row>
    <row r="51" spans="1:5" x14ac:dyDescent="0.2">
      <c r="A51" s="13" t="s">
        <v>1106</v>
      </c>
      <c r="B51" t="s">
        <v>296</v>
      </c>
      <c r="C51">
        <f>DAY(DATE(VALUE(LEFT(A51,4)),VALUE(RIGHT(A51,2))+1,1)-1)</f>
        <v>31</v>
      </c>
      <c r="D51">
        <v>3</v>
      </c>
      <c r="E51">
        <f>Reference_Nights[[#This Row],[Days_in_month]]-Reference_Nights[[#This Row],[Unavailable_days]]</f>
        <v>28</v>
      </c>
    </row>
    <row r="52" spans="1:5" x14ac:dyDescent="0.2">
      <c r="A52" t="s">
        <v>1106</v>
      </c>
      <c r="B52" t="s">
        <v>297</v>
      </c>
      <c r="C52">
        <f>DAY(DATE(VALUE(LEFT(A52,4)),VALUE(RIGHT(A52,2))+1,1)-1)</f>
        <v>31</v>
      </c>
      <c r="D52">
        <v>3</v>
      </c>
      <c r="E52">
        <f>Reference_Nights[[#This Row],[Days_in_month]]-Reference_Nights[[#This Row],[Unavailable_days]]</f>
        <v>28</v>
      </c>
    </row>
    <row r="53" spans="1:5" x14ac:dyDescent="0.2">
      <c r="A53" s="13" t="s">
        <v>1107</v>
      </c>
      <c r="B53" t="s">
        <v>295</v>
      </c>
      <c r="C53">
        <f t="shared" ref="C53:C60" si="2">DAY(DATE(VALUE(LEFT(A53,4)),VALUE(RIGHT(A53,2))+1,1)-1)</f>
        <v>31</v>
      </c>
      <c r="D53">
        <v>3</v>
      </c>
      <c r="E53">
        <f>Reference_Nights[[#This Row],[Days_in_month]]-Reference_Nights[[#This Row],[Unavailable_days]]</f>
        <v>28</v>
      </c>
    </row>
    <row r="54" spans="1:5" x14ac:dyDescent="0.2">
      <c r="A54" s="13" t="s">
        <v>1107</v>
      </c>
      <c r="B54" t="s">
        <v>296</v>
      </c>
      <c r="C54">
        <f t="shared" si="2"/>
        <v>31</v>
      </c>
      <c r="D54">
        <v>3</v>
      </c>
      <c r="E54">
        <f>Reference_Nights[[#This Row],[Days_in_month]]-Reference_Nights[[#This Row],[Unavailable_days]]</f>
        <v>28</v>
      </c>
    </row>
    <row r="55" spans="1:5" x14ac:dyDescent="0.2">
      <c r="A55" t="s">
        <v>1107</v>
      </c>
      <c r="B55" t="s">
        <v>297</v>
      </c>
      <c r="C55">
        <f t="shared" si="2"/>
        <v>31</v>
      </c>
      <c r="D55">
        <v>3</v>
      </c>
      <c r="E55">
        <f>Reference_Nights[[#This Row],[Days_in_month]]-Reference_Nights[[#This Row],[Unavailable_days]]</f>
        <v>28</v>
      </c>
    </row>
    <row r="56" spans="1:5" x14ac:dyDescent="0.2">
      <c r="A56" s="13" t="s">
        <v>1108</v>
      </c>
      <c r="B56" t="s">
        <v>295</v>
      </c>
      <c r="C56">
        <f t="shared" si="2"/>
        <v>30</v>
      </c>
      <c r="D56">
        <v>3</v>
      </c>
      <c r="E56">
        <f>Reference_Nights[[#This Row],[Days_in_month]]-Reference_Nights[[#This Row],[Unavailable_days]]</f>
        <v>27</v>
      </c>
    </row>
    <row r="57" spans="1:5" x14ac:dyDescent="0.2">
      <c r="A57" s="13" t="s">
        <v>1108</v>
      </c>
      <c r="B57" t="s">
        <v>296</v>
      </c>
      <c r="C57">
        <f t="shared" si="2"/>
        <v>30</v>
      </c>
      <c r="D57">
        <v>3</v>
      </c>
      <c r="E57">
        <f>Reference_Nights[[#This Row],[Days_in_month]]-Reference_Nights[[#This Row],[Unavailable_days]]</f>
        <v>27</v>
      </c>
    </row>
    <row r="58" spans="1:5" x14ac:dyDescent="0.2">
      <c r="A58" t="s">
        <v>1108</v>
      </c>
      <c r="B58" t="s">
        <v>297</v>
      </c>
      <c r="C58">
        <f t="shared" si="2"/>
        <v>30</v>
      </c>
      <c r="D58">
        <v>3</v>
      </c>
      <c r="E58">
        <f>Reference_Nights[[#This Row],[Days_in_month]]-Reference_Nights[[#This Row],[Unavailable_days]]</f>
        <v>27</v>
      </c>
    </row>
    <row r="59" spans="1:5" x14ac:dyDescent="0.2">
      <c r="A59" s="13" t="s">
        <v>1109</v>
      </c>
      <c r="B59" t="s">
        <v>295</v>
      </c>
      <c r="C59">
        <f t="shared" si="2"/>
        <v>31</v>
      </c>
      <c r="D59">
        <v>3</v>
      </c>
      <c r="E59">
        <f>Reference_Nights[[#This Row],[Days_in_month]]-Reference_Nights[[#This Row],[Unavailable_days]]</f>
        <v>28</v>
      </c>
    </row>
    <row r="60" spans="1:5" x14ac:dyDescent="0.2">
      <c r="A60" s="13" t="s">
        <v>1109</v>
      </c>
      <c r="B60" t="s">
        <v>296</v>
      </c>
      <c r="C60">
        <f t="shared" si="2"/>
        <v>31</v>
      </c>
      <c r="D60">
        <v>3</v>
      </c>
      <c r="E60">
        <f>Reference_Nights[[#This Row],[Days_in_month]]-Reference_Nights[[#This Row],[Unavailable_days]]</f>
        <v>28</v>
      </c>
    </row>
    <row r="61" spans="1:5" x14ac:dyDescent="0.2">
      <c r="A61" t="s">
        <v>1109</v>
      </c>
      <c r="B61" t="s">
        <v>297</v>
      </c>
      <c r="C61">
        <f>DAY(DATE(VALUE(LEFT(A61,4)),VALUE(RIGHT(A61,2))+1,1)-1)</f>
        <v>31</v>
      </c>
      <c r="D61">
        <v>3</v>
      </c>
      <c r="E61">
        <f>Reference_Nights[[#This Row],[Days_in_month]]-Reference_Nights[[#This Row],[Unavailable_days]]</f>
        <v>28</v>
      </c>
    </row>
    <row r="62" spans="1:5" x14ac:dyDescent="0.2">
      <c r="A62" s="13" t="s">
        <v>1110</v>
      </c>
      <c r="B62" t="s">
        <v>295</v>
      </c>
      <c r="C62">
        <f>DAY(DATE(VALUE(LEFT(A62,4)),VALUE(RIGHT(A62,2))+1,1)-1)</f>
        <v>30</v>
      </c>
      <c r="D62">
        <v>3</v>
      </c>
      <c r="E62">
        <f>Reference_Nights[[#This Row],[Days_in_month]]-Reference_Nights[[#This Row],[Unavailable_days]]</f>
        <v>27</v>
      </c>
    </row>
    <row r="63" spans="1:5" x14ac:dyDescent="0.2">
      <c r="A63" s="13" t="s">
        <v>1110</v>
      </c>
      <c r="B63" t="s">
        <v>296</v>
      </c>
      <c r="C63">
        <f t="shared" ref="C63:C84" si="3">DAY(DATE(VALUE(LEFT(A63,4)),VALUE(RIGHT(A63,2))+1,1)-1)</f>
        <v>30</v>
      </c>
      <c r="D63">
        <v>3</v>
      </c>
      <c r="E63">
        <f>Reference_Nights[[#This Row],[Days_in_month]]-Reference_Nights[[#This Row],[Unavailable_days]]</f>
        <v>27</v>
      </c>
    </row>
    <row r="64" spans="1:5" x14ac:dyDescent="0.2">
      <c r="A64" t="s">
        <v>1110</v>
      </c>
      <c r="B64" t="s">
        <v>297</v>
      </c>
      <c r="C64">
        <f t="shared" si="3"/>
        <v>30</v>
      </c>
      <c r="D64">
        <v>3</v>
      </c>
      <c r="E64">
        <f>Reference_Nights[[#This Row],[Days_in_month]]-Reference_Nights[[#This Row],[Unavailable_days]]</f>
        <v>27</v>
      </c>
    </row>
    <row r="65" spans="1:5" x14ac:dyDescent="0.2">
      <c r="A65" s="13" t="s">
        <v>1111</v>
      </c>
      <c r="B65" t="s">
        <v>295</v>
      </c>
      <c r="C65">
        <f t="shared" si="3"/>
        <v>31</v>
      </c>
      <c r="D65">
        <v>3</v>
      </c>
      <c r="E65">
        <f>Reference_Nights[[#This Row],[Days_in_month]]-Reference_Nights[[#This Row],[Unavailable_days]]</f>
        <v>28</v>
      </c>
    </row>
    <row r="66" spans="1:5" x14ac:dyDescent="0.2">
      <c r="A66" s="13" t="s">
        <v>1111</v>
      </c>
      <c r="B66" t="s">
        <v>296</v>
      </c>
      <c r="C66">
        <f t="shared" si="3"/>
        <v>31</v>
      </c>
      <c r="D66">
        <v>3</v>
      </c>
      <c r="E66">
        <f>Reference_Nights[[#This Row],[Days_in_month]]-Reference_Nights[[#This Row],[Unavailable_days]]</f>
        <v>28</v>
      </c>
    </row>
    <row r="67" spans="1:5" x14ac:dyDescent="0.2">
      <c r="A67" t="s">
        <v>1111</v>
      </c>
      <c r="B67" t="s">
        <v>297</v>
      </c>
      <c r="C67">
        <f t="shared" si="3"/>
        <v>31</v>
      </c>
      <c r="D67">
        <v>3</v>
      </c>
      <c r="E67">
        <f>Reference_Nights[[#This Row],[Days_in_month]]-Reference_Nights[[#This Row],[Unavailable_days]]</f>
        <v>28</v>
      </c>
    </row>
    <row r="68" spans="1:5" x14ac:dyDescent="0.2">
      <c r="A68" s="13" t="s">
        <v>1112</v>
      </c>
      <c r="B68" t="s">
        <v>295</v>
      </c>
      <c r="C68">
        <f t="shared" si="3"/>
        <v>31</v>
      </c>
      <c r="D68">
        <v>3</v>
      </c>
      <c r="E68">
        <f>Reference_Nights[[#This Row],[Days_in_month]]-Reference_Nights[[#This Row],[Unavailable_days]]</f>
        <v>28</v>
      </c>
    </row>
    <row r="69" spans="1:5" x14ac:dyDescent="0.2">
      <c r="A69" s="13" t="s">
        <v>1112</v>
      </c>
      <c r="B69" t="s">
        <v>296</v>
      </c>
      <c r="C69">
        <f t="shared" si="3"/>
        <v>31</v>
      </c>
      <c r="D69">
        <v>3</v>
      </c>
      <c r="E69">
        <f>Reference_Nights[[#This Row],[Days_in_month]]-Reference_Nights[[#This Row],[Unavailable_days]]</f>
        <v>28</v>
      </c>
    </row>
    <row r="70" spans="1:5" x14ac:dyDescent="0.2">
      <c r="A70" t="s">
        <v>1112</v>
      </c>
      <c r="B70" t="s">
        <v>297</v>
      </c>
      <c r="C70">
        <f t="shared" si="3"/>
        <v>31</v>
      </c>
      <c r="D70">
        <v>3</v>
      </c>
      <c r="E70">
        <f>Reference_Nights[[#This Row],[Days_in_month]]-Reference_Nights[[#This Row],[Unavailable_days]]</f>
        <v>28</v>
      </c>
    </row>
    <row r="71" spans="1:5" x14ac:dyDescent="0.2">
      <c r="A71" s="13" t="s">
        <v>1113</v>
      </c>
      <c r="B71" t="s">
        <v>295</v>
      </c>
      <c r="C71">
        <f t="shared" si="3"/>
        <v>29</v>
      </c>
      <c r="D71">
        <v>3</v>
      </c>
      <c r="E71">
        <f>Reference_Nights[[#This Row],[Days_in_month]]-Reference_Nights[[#This Row],[Unavailable_days]]</f>
        <v>26</v>
      </c>
    </row>
    <row r="72" spans="1:5" x14ac:dyDescent="0.2">
      <c r="A72" s="13" t="s">
        <v>1113</v>
      </c>
      <c r="B72" t="s">
        <v>296</v>
      </c>
      <c r="C72">
        <f t="shared" si="3"/>
        <v>29</v>
      </c>
      <c r="D72">
        <v>3</v>
      </c>
      <c r="E72">
        <f>Reference_Nights[[#This Row],[Days_in_month]]-Reference_Nights[[#This Row],[Unavailable_days]]</f>
        <v>26</v>
      </c>
    </row>
    <row r="73" spans="1:5" x14ac:dyDescent="0.2">
      <c r="A73" t="s">
        <v>1113</v>
      </c>
      <c r="B73" t="s">
        <v>297</v>
      </c>
      <c r="C73">
        <f t="shared" si="3"/>
        <v>29</v>
      </c>
      <c r="D73">
        <v>3</v>
      </c>
      <c r="E73">
        <f>Reference_Nights[[#This Row],[Days_in_month]]-Reference_Nights[[#This Row],[Unavailable_days]]</f>
        <v>26</v>
      </c>
    </row>
    <row r="74" spans="1:5" x14ac:dyDescent="0.2">
      <c r="A74" s="13" t="s">
        <v>1114</v>
      </c>
      <c r="B74" t="s">
        <v>295</v>
      </c>
      <c r="C74">
        <f t="shared" si="3"/>
        <v>31</v>
      </c>
      <c r="D74">
        <v>3</v>
      </c>
      <c r="E74">
        <f>Reference_Nights[[#This Row],[Days_in_month]]-Reference_Nights[[#This Row],[Unavailable_days]]</f>
        <v>28</v>
      </c>
    </row>
    <row r="75" spans="1:5" x14ac:dyDescent="0.2">
      <c r="A75" s="13" t="s">
        <v>1114</v>
      </c>
      <c r="B75" t="s">
        <v>296</v>
      </c>
      <c r="C75">
        <f t="shared" si="3"/>
        <v>31</v>
      </c>
      <c r="D75">
        <v>3</v>
      </c>
      <c r="E75">
        <f>Reference_Nights[[#This Row],[Days_in_month]]-Reference_Nights[[#This Row],[Unavailable_days]]</f>
        <v>28</v>
      </c>
    </row>
    <row r="76" spans="1:5" x14ac:dyDescent="0.2">
      <c r="A76" t="s">
        <v>1114</v>
      </c>
      <c r="B76" t="s">
        <v>297</v>
      </c>
      <c r="C76">
        <f t="shared" si="3"/>
        <v>31</v>
      </c>
      <c r="D76">
        <v>3</v>
      </c>
      <c r="E76">
        <f>Reference_Nights[[#This Row],[Days_in_month]]-Reference_Nights[[#This Row],[Unavailable_days]]</f>
        <v>28</v>
      </c>
    </row>
    <row r="77" spans="1:5" x14ac:dyDescent="0.2">
      <c r="A77" s="13" t="s">
        <v>1115</v>
      </c>
      <c r="B77" t="s">
        <v>295</v>
      </c>
      <c r="C77">
        <f t="shared" si="3"/>
        <v>30</v>
      </c>
      <c r="D77">
        <v>3</v>
      </c>
      <c r="E77">
        <f>Reference_Nights[[#This Row],[Days_in_month]]-Reference_Nights[[#This Row],[Unavailable_days]]</f>
        <v>27</v>
      </c>
    </row>
    <row r="78" spans="1:5" x14ac:dyDescent="0.2">
      <c r="A78" s="13" t="s">
        <v>1115</v>
      </c>
      <c r="B78" t="s">
        <v>296</v>
      </c>
      <c r="C78">
        <f t="shared" si="3"/>
        <v>30</v>
      </c>
      <c r="D78">
        <v>3</v>
      </c>
      <c r="E78">
        <f>Reference_Nights[[#This Row],[Days_in_month]]-Reference_Nights[[#This Row],[Unavailable_days]]</f>
        <v>27</v>
      </c>
    </row>
    <row r="79" spans="1:5" x14ac:dyDescent="0.2">
      <c r="A79" t="s">
        <v>1115</v>
      </c>
      <c r="B79" t="s">
        <v>297</v>
      </c>
      <c r="C79">
        <f t="shared" si="3"/>
        <v>30</v>
      </c>
      <c r="D79">
        <v>3</v>
      </c>
      <c r="E79">
        <f>Reference_Nights[[#This Row],[Days_in_month]]-Reference_Nights[[#This Row],[Unavailable_days]]</f>
        <v>27</v>
      </c>
    </row>
    <row r="80" spans="1:5" x14ac:dyDescent="0.2">
      <c r="A80" s="13" t="s">
        <v>1116</v>
      </c>
      <c r="B80" t="s">
        <v>295</v>
      </c>
      <c r="C80">
        <f t="shared" si="3"/>
        <v>31</v>
      </c>
      <c r="D80">
        <v>3</v>
      </c>
      <c r="E80">
        <f>Reference_Nights[[#This Row],[Days_in_month]]-Reference_Nights[[#This Row],[Unavailable_days]]</f>
        <v>28</v>
      </c>
    </row>
    <row r="81" spans="1:5" x14ac:dyDescent="0.2">
      <c r="A81" s="13" t="s">
        <v>1116</v>
      </c>
      <c r="B81" t="s">
        <v>296</v>
      </c>
      <c r="C81">
        <f t="shared" si="3"/>
        <v>31</v>
      </c>
      <c r="D81">
        <v>3</v>
      </c>
      <c r="E81">
        <f>Reference_Nights[[#This Row],[Days_in_month]]-Reference_Nights[[#This Row],[Unavailable_days]]</f>
        <v>28</v>
      </c>
    </row>
    <row r="82" spans="1:5" x14ac:dyDescent="0.2">
      <c r="A82" t="s">
        <v>1116</v>
      </c>
      <c r="B82" t="s">
        <v>297</v>
      </c>
      <c r="C82">
        <f t="shared" si="3"/>
        <v>31</v>
      </c>
      <c r="D82">
        <v>3</v>
      </c>
      <c r="E82">
        <f>Reference_Nights[[#This Row],[Days_in_month]]-Reference_Nights[[#This Row],[Unavailable_days]]</f>
        <v>28</v>
      </c>
    </row>
    <row r="83" spans="1:5" x14ac:dyDescent="0.2">
      <c r="A83" s="13" t="s">
        <v>1117</v>
      </c>
      <c r="B83" t="s">
        <v>295</v>
      </c>
      <c r="C83">
        <f t="shared" si="3"/>
        <v>30</v>
      </c>
      <c r="D83">
        <v>3</v>
      </c>
      <c r="E83">
        <f>Reference_Nights[[#This Row],[Days_in_month]]-Reference_Nights[[#This Row],[Unavailable_days]]</f>
        <v>27</v>
      </c>
    </row>
    <row r="84" spans="1:5" x14ac:dyDescent="0.2">
      <c r="A84" s="13" t="s">
        <v>1117</v>
      </c>
      <c r="B84" t="s">
        <v>296</v>
      </c>
      <c r="C84">
        <f t="shared" si="3"/>
        <v>30</v>
      </c>
      <c r="D84">
        <v>3</v>
      </c>
      <c r="E84">
        <f>Reference_Nights[[#This Row],[Days_in_month]]-Reference_Nights[[#This Row],[Unavailable_days]]</f>
        <v>27</v>
      </c>
    </row>
    <row r="85" spans="1:5" x14ac:dyDescent="0.2">
      <c r="A85" t="s">
        <v>1117</v>
      </c>
      <c r="B85" t="s">
        <v>297</v>
      </c>
      <c r="C85">
        <f>DAY(DATE(VALUE(LEFT(A85,4)),VALUE(RIGHT(A85,2))+1,1)-1)</f>
        <v>30</v>
      </c>
      <c r="D85">
        <v>3</v>
      </c>
      <c r="E85">
        <f>Reference_Nights[[#This Row],[Days_in_month]]-Reference_Nights[[#This Row],[Unavailable_days]]</f>
        <v>27</v>
      </c>
    </row>
    <row r="86" spans="1:5" x14ac:dyDescent="0.2">
      <c r="A86" s="13" t="s">
        <v>1118</v>
      </c>
      <c r="B86" t="s">
        <v>295</v>
      </c>
      <c r="C86">
        <f>DAY(DATE(VALUE(LEFT(A86,4)),VALUE(RIGHT(A86,2))+1,1)-1)</f>
        <v>31</v>
      </c>
      <c r="D86">
        <v>3</v>
      </c>
      <c r="E86">
        <f>Reference_Nights[[#This Row],[Days_in_month]]-Reference_Nights[[#This Row],[Unavailable_days]]</f>
        <v>28</v>
      </c>
    </row>
    <row r="87" spans="1:5" x14ac:dyDescent="0.2">
      <c r="A87" s="13" t="s">
        <v>1118</v>
      </c>
      <c r="B87" t="s">
        <v>296</v>
      </c>
      <c r="C87">
        <f t="shared" ref="C87:C94" si="4">DAY(DATE(VALUE(LEFT(A87,4)),VALUE(RIGHT(A87,2))+1,1)-1)</f>
        <v>31</v>
      </c>
      <c r="D87">
        <v>3</v>
      </c>
      <c r="E87">
        <f>Reference_Nights[[#This Row],[Days_in_month]]-Reference_Nights[[#This Row],[Unavailable_days]]</f>
        <v>28</v>
      </c>
    </row>
    <row r="88" spans="1:5" x14ac:dyDescent="0.2">
      <c r="A88" t="s">
        <v>1118</v>
      </c>
      <c r="B88" t="s">
        <v>297</v>
      </c>
      <c r="C88">
        <f t="shared" si="4"/>
        <v>31</v>
      </c>
      <c r="D88">
        <v>3</v>
      </c>
      <c r="E88">
        <f>Reference_Nights[[#This Row],[Days_in_month]]-Reference_Nights[[#This Row],[Unavailable_days]]</f>
        <v>28</v>
      </c>
    </row>
    <row r="89" spans="1:5" x14ac:dyDescent="0.2">
      <c r="A89" s="13" t="s">
        <v>1119</v>
      </c>
      <c r="B89" t="s">
        <v>295</v>
      </c>
      <c r="C89">
        <f t="shared" si="4"/>
        <v>31</v>
      </c>
      <c r="D89">
        <v>3</v>
      </c>
      <c r="E89">
        <f>Reference_Nights[[#This Row],[Days_in_month]]-Reference_Nights[[#This Row],[Unavailable_days]]</f>
        <v>28</v>
      </c>
    </row>
    <row r="90" spans="1:5" x14ac:dyDescent="0.2">
      <c r="A90" s="13" t="s">
        <v>1119</v>
      </c>
      <c r="B90" t="s">
        <v>296</v>
      </c>
      <c r="C90">
        <f t="shared" si="4"/>
        <v>31</v>
      </c>
      <c r="D90">
        <v>3</v>
      </c>
      <c r="E90">
        <f>Reference_Nights[[#This Row],[Days_in_month]]-Reference_Nights[[#This Row],[Unavailable_days]]</f>
        <v>28</v>
      </c>
    </row>
    <row r="91" spans="1:5" x14ac:dyDescent="0.2">
      <c r="A91" t="s">
        <v>1119</v>
      </c>
      <c r="B91" t="s">
        <v>297</v>
      </c>
      <c r="C91">
        <f t="shared" si="4"/>
        <v>31</v>
      </c>
      <c r="D91">
        <v>3</v>
      </c>
      <c r="E91">
        <f>Reference_Nights[[#This Row],[Days_in_month]]-Reference_Nights[[#This Row],[Unavailable_days]]</f>
        <v>28</v>
      </c>
    </row>
    <row r="92" spans="1:5" x14ac:dyDescent="0.2">
      <c r="A92" s="13" t="s">
        <v>1120</v>
      </c>
      <c r="B92" t="s">
        <v>295</v>
      </c>
      <c r="C92">
        <f t="shared" si="4"/>
        <v>30</v>
      </c>
      <c r="D92">
        <v>3</v>
      </c>
      <c r="E92">
        <f>Reference_Nights[[#This Row],[Days_in_month]]-Reference_Nights[[#This Row],[Unavailable_days]]</f>
        <v>27</v>
      </c>
    </row>
    <row r="93" spans="1:5" x14ac:dyDescent="0.2">
      <c r="A93" s="13" t="s">
        <v>1120</v>
      </c>
      <c r="B93" t="s">
        <v>296</v>
      </c>
      <c r="C93">
        <f t="shared" si="4"/>
        <v>30</v>
      </c>
      <c r="D93">
        <v>3</v>
      </c>
      <c r="E93">
        <f>Reference_Nights[[#This Row],[Days_in_month]]-Reference_Nights[[#This Row],[Unavailable_days]]</f>
        <v>27</v>
      </c>
    </row>
    <row r="94" spans="1:5" x14ac:dyDescent="0.2">
      <c r="A94" t="s">
        <v>1120</v>
      </c>
      <c r="B94" t="s">
        <v>297</v>
      </c>
      <c r="C94">
        <f t="shared" si="4"/>
        <v>30</v>
      </c>
      <c r="D94">
        <v>3</v>
      </c>
      <c r="E94">
        <f>Reference_Nights[[#This Row],[Days_in_month]]-Reference_Nights[[#This Row],[Unavailable_days]]</f>
        <v>27</v>
      </c>
    </row>
    <row r="95" spans="1:5" x14ac:dyDescent="0.2">
      <c r="A95" s="13" t="s">
        <v>1121</v>
      </c>
      <c r="B95" t="s">
        <v>295</v>
      </c>
      <c r="C95">
        <f>DAY(DATE(VALUE(LEFT(A95,4)),VALUE(RIGHT(A95,2))+1,1)-1)</f>
        <v>31</v>
      </c>
      <c r="D95">
        <v>3</v>
      </c>
      <c r="E95">
        <f>Reference_Nights[[#This Row],[Days_in_month]]-Reference_Nights[[#This Row],[Unavailable_days]]</f>
        <v>28</v>
      </c>
    </row>
    <row r="96" spans="1:5" x14ac:dyDescent="0.2">
      <c r="A96" s="13" t="s">
        <v>1121</v>
      </c>
      <c r="B96" t="s">
        <v>296</v>
      </c>
      <c r="C96">
        <f>DAY(DATE(VALUE(LEFT(A96,4)),VALUE(RIGHT(A96,2))+1,1)-1)</f>
        <v>31</v>
      </c>
      <c r="D96">
        <v>3</v>
      </c>
      <c r="E96">
        <f>Reference_Nights[[#This Row],[Days_in_month]]-Reference_Nights[[#This Row],[Unavailable_days]]</f>
        <v>28</v>
      </c>
    </row>
    <row r="97" spans="1:5" x14ac:dyDescent="0.2">
      <c r="A97" t="s">
        <v>1121</v>
      </c>
      <c r="B97" t="s">
        <v>297</v>
      </c>
      <c r="C97">
        <f t="shared" ref="C97:C104" si="5">DAY(DATE(VALUE(LEFT(A97,4)),VALUE(RIGHT(A97,2))+1,1)-1)</f>
        <v>31</v>
      </c>
      <c r="D97">
        <v>3</v>
      </c>
      <c r="E97">
        <f>Reference_Nights[[#This Row],[Days_in_month]]-Reference_Nights[[#This Row],[Unavailable_days]]</f>
        <v>28</v>
      </c>
    </row>
    <row r="98" spans="1:5" x14ac:dyDescent="0.2">
      <c r="A98" s="13" t="s">
        <v>1122</v>
      </c>
      <c r="B98" t="s">
        <v>295</v>
      </c>
      <c r="C98">
        <f t="shared" si="5"/>
        <v>30</v>
      </c>
      <c r="D98">
        <v>3</v>
      </c>
      <c r="E98">
        <f>Reference_Nights[[#This Row],[Days_in_month]]-Reference_Nights[[#This Row],[Unavailable_days]]</f>
        <v>27</v>
      </c>
    </row>
    <row r="99" spans="1:5" x14ac:dyDescent="0.2">
      <c r="A99" s="13" t="s">
        <v>1122</v>
      </c>
      <c r="B99" t="s">
        <v>296</v>
      </c>
      <c r="C99">
        <f t="shared" si="5"/>
        <v>30</v>
      </c>
      <c r="D99">
        <v>3</v>
      </c>
      <c r="E99">
        <f>Reference_Nights[[#This Row],[Days_in_month]]-Reference_Nights[[#This Row],[Unavailable_days]]</f>
        <v>27</v>
      </c>
    </row>
    <row r="100" spans="1:5" x14ac:dyDescent="0.2">
      <c r="A100" t="s">
        <v>1122</v>
      </c>
      <c r="B100" t="s">
        <v>297</v>
      </c>
      <c r="C100">
        <f t="shared" si="5"/>
        <v>30</v>
      </c>
      <c r="D100">
        <v>3</v>
      </c>
      <c r="E100">
        <f>Reference_Nights[[#This Row],[Days_in_month]]-Reference_Nights[[#This Row],[Unavailable_days]]</f>
        <v>27</v>
      </c>
    </row>
    <row r="101" spans="1:5" x14ac:dyDescent="0.2">
      <c r="A101" s="13" t="s">
        <v>1123</v>
      </c>
      <c r="B101" t="s">
        <v>295</v>
      </c>
      <c r="C101">
        <f t="shared" si="5"/>
        <v>31</v>
      </c>
      <c r="D101">
        <v>3</v>
      </c>
      <c r="E101">
        <f>Reference_Nights[[#This Row],[Days_in_month]]-Reference_Nights[[#This Row],[Unavailable_days]]</f>
        <v>28</v>
      </c>
    </row>
    <row r="102" spans="1:5" x14ac:dyDescent="0.2">
      <c r="A102" s="13" t="s">
        <v>1123</v>
      </c>
      <c r="B102" t="s">
        <v>296</v>
      </c>
      <c r="C102">
        <f t="shared" si="5"/>
        <v>31</v>
      </c>
      <c r="D102">
        <v>3</v>
      </c>
      <c r="E102">
        <f>Reference_Nights[[#This Row],[Days_in_month]]-Reference_Nights[[#This Row],[Unavailable_days]]</f>
        <v>28</v>
      </c>
    </row>
    <row r="103" spans="1:5" x14ac:dyDescent="0.2">
      <c r="A103" t="s">
        <v>1123</v>
      </c>
      <c r="B103" t="s">
        <v>297</v>
      </c>
      <c r="C103">
        <f t="shared" si="5"/>
        <v>31</v>
      </c>
      <c r="D103">
        <v>3</v>
      </c>
      <c r="E103">
        <f>Reference_Nights[[#This Row],[Days_in_month]]-Reference_Nights[[#This Row],[Unavailable_days]]</f>
        <v>28</v>
      </c>
    </row>
    <row r="104" spans="1:5" x14ac:dyDescent="0.2">
      <c r="A104" s="13" t="s">
        <v>1124</v>
      </c>
      <c r="B104" t="s">
        <v>295</v>
      </c>
      <c r="C104">
        <f t="shared" si="5"/>
        <v>31</v>
      </c>
      <c r="D104">
        <v>3</v>
      </c>
      <c r="E104">
        <f>Reference_Nights[[#This Row],[Days_in_month]]-Reference_Nights[[#This Row],[Unavailable_days]]</f>
        <v>28</v>
      </c>
    </row>
    <row r="105" spans="1:5" x14ac:dyDescent="0.2">
      <c r="A105" s="13" t="s">
        <v>1124</v>
      </c>
      <c r="B105" t="s">
        <v>296</v>
      </c>
      <c r="C105">
        <f>DAY(DATE(VALUE(LEFT(A105,4)),VALUE(RIGHT(A105,2))+1,1)-1)</f>
        <v>31</v>
      </c>
      <c r="D105">
        <v>3</v>
      </c>
      <c r="E105">
        <f>Reference_Nights[[#This Row],[Days_in_month]]-Reference_Nights[[#This Row],[Unavailable_days]]</f>
        <v>28</v>
      </c>
    </row>
    <row r="106" spans="1:5" x14ac:dyDescent="0.2">
      <c r="A106" t="s">
        <v>1124</v>
      </c>
      <c r="B106" t="s">
        <v>297</v>
      </c>
      <c r="C106">
        <f>DAY(DATE(VALUE(LEFT(A106,4)),VALUE(RIGHT(A106,2))+1,1)-1)</f>
        <v>31</v>
      </c>
      <c r="D106">
        <v>3</v>
      </c>
      <c r="E106">
        <f>Reference_Nights[[#This Row],[Days_in_month]]-Reference_Nights[[#This Row],[Unavailable_days]]</f>
        <v>28</v>
      </c>
    </row>
    <row r="107" spans="1:5" x14ac:dyDescent="0.2">
      <c r="A107" s="13" t="s">
        <v>1125</v>
      </c>
      <c r="B107" t="s">
        <v>295</v>
      </c>
      <c r="C107">
        <f t="shared" ref="C107:C114" si="6">DAY(DATE(VALUE(LEFT(A107,4)),VALUE(RIGHT(A107,2))+1,1)-1)</f>
        <v>28</v>
      </c>
      <c r="D107">
        <v>3</v>
      </c>
      <c r="E107">
        <f>Reference_Nights[[#This Row],[Days_in_month]]-Reference_Nights[[#This Row],[Unavailable_days]]</f>
        <v>25</v>
      </c>
    </row>
    <row r="108" spans="1:5" x14ac:dyDescent="0.2">
      <c r="A108" s="13" t="s">
        <v>1125</v>
      </c>
      <c r="B108" t="s">
        <v>296</v>
      </c>
      <c r="C108">
        <f t="shared" si="6"/>
        <v>28</v>
      </c>
      <c r="D108">
        <v>3</v>
      </c>
      <c r="E108">
        <f>Reference_Nights[[#This Row],[Days_in_month]]-Reference_Nights[[#This Row],[Unavailable_days]]</f>
        <v>25</v>
      </c>
    </row>
    <row r="109" spans="1:5" x14ac:dyDescent="0.2">
      <c r="A109" t="s">
        <v>1125</v>
      </c>
      <c r="B109" t="s">
        <v>297</v>
      </c>
      <c r="C109">
        <f t="shared" si="6"/>
        <v>28</v>
      </c>
      <c r="D109">
        <v>3</v>
      </c>
      <c r="E109">
        <f>Reference_Nights[[#This Row],[Days_in_month]]-Reference_Nights[[#This Row],[Unavailable_days]]</f>
        <v>25</v>
      </c>
    </row>
    <row r="110" spans="1:5" x14ac:dyDescent="0.2">
      <c r="A110" s="13" t="s">
        <v>1126</v>
      </c>
      <c r="B110" t="s">
        <v>295</v>
      </c>
      <c r="C110">
        <f t="shared" si="6"/>
        <v>31</v>
      </c>
      <c r="D110">
        <v>3</v>
      </c>
      <c r="E110">
        <f>Reference_Nights[[#This Row],[Days_in_month]]-Reference_Nights[[#This Row],[Unavailable_days]]</f>
        <v>28</v>
      </c>
    </row>
    <row r="111" spans="1:5" x14ac:dyDescent="0.2">
      <c r="A111" s="13" t="s">
        <v>1126</v>
      </c>
      <c r="B111" t="s">
        <v>296</v>
      </c>
      <c r="C111">
        <f t="shared" si="6"/>
        <v>31</v>
      </c>
      <c r="D111">
        <v>3</v>
      </c>
      <c r="E111">
        <f>Reference_Nights[[#This Row],[Days_in_month]]-Reference_Nights[[#This Row],[Unavailable_days]]</f>
        <v>28</v>
      </c>
    </row>
    <row r="112" spans="1:5" x14ac:dyDescent="0.2">
      <c r="A112" t="s">
        <v>1126</v>
      </c>
      <c r="B112" t="s">
        <v>297</v>
      </c>
      <c r="C112">
        <f t="shared" si="6"/>
        <v>31</v>
      </c>
      <c r="D112">
        <v>3</v>
      </c>
      <c r="E112">
        <f>Reference_Nights[[#This Row],[Days_in_month]]-Reference_Nights[[#This Row],[Unavailable_days]]</f>
        <v>28</v>
      </c>
    </row>
    <row r="113" spans="1:5" x14ac:dyDescent="0.2">
      <c r="A113" s="13" t="s">
        <v>1127</v>
      </c>
      <c r="B113" t="s">
        <v>295</v>
      </c>
      <c r="C113">
        <f t="shared" si="6"/>
        <v>30</v>
      </c>
      <c r="D113">
        <v>3</v>
      </c>
      <c r="E113">
        <f>Reference_Nights[[#This Row],[Days_in_month]]-Reference_Nights[[#This Row],[Unavailable_days]]</f>
        <v>27</v>
      </c>
    </row>
    <row r="114" spans="1:5" x14ac:dyDescent="0.2">
      <c r="A114" s="13" t="s">
        <v>1127</v>
      </c>
      <c r="B114" t="s">
        <v>296</v>
      </c>
      <c r="C114">
        <f t="shared" si="6"/>
        <v>30</v>
      </c>
      <c r="D114">
        <v>3</v>
      </c>
      <c r="E114">
        <f>Reference_Nights[[#This Row],[Days_in_month]]-Reference_Nights[[#This Row],[Unavailable_days]]</f>
        <v>27</v>
      </c>
    </row>
    <row r="115" spans="1:5" x14ac:dyDescent="0.2">
      <c r="A115" t="s">
        <v>1127</v>
      </c>
      <c r="B115" t="s">
        <v>297</v>
      </c>
      <c r="C115">
        <f>DAY(DATE(VALUE(LEFT(A115,4)),VALUE(RIGHT(A115,2))+1,1)-1)</f>
        <v>30</v>
      </c>
      <c r="D115">
        <v>3</v>
      </c>
      <c r="E115">
        <f>Reference_Nights[[#This Row],[Days_in_month]]-Reference_Nights[[#This Row],[Unavailable_days]]</f>
        <v>27</v>
      </c>
    </row>
    <row r="116" spans="1:5" x14ac:dyDescent="0.2">
      <c r="A116" s="13" t="s">
        <v>1128</v>
      </c>
      <c r="B116" t="s">
        <v>295</v>
      </c>
      <c r="C116">
        <f>DAY(DATE(VALUE(LEFT(A116,4)),VALUE(RIGHT(A116,2))+1,1)-1)</f>
        <v>31</v>
      </c>
      <c r="D116">
        <v>3</v>
      </c>
      <c r="E116">
        <f>Reference_Nights[[#This Row],[Days_in_month]]-Reference_Nights[[#This Row],[Unavailable_days]]</f>
        <v>28</v>
      </c>
    </row>
    <row r="117" spans="1:5" x14ac:dyDescent="0.2">
      <c r="A117" s="13" t="s">
        <v>1128</v>
      </c>
      <c r="B117" t="s">
        <v>296</v>
      </c>
      <c r="C117">
        <f t="shared" ref="C117:C138" si="7">DAY(DATE(VALUE(LEFT(A117,4)),VALUE(RIGHT(A117,2))+1,1)-1)</f>
        <v>31</v>
      </c>
      <c r="D117">
        <v>3</v>
      </c>
      <c r="E117">
        <f>Reference_Nights[[#This Row],[Days_in_month]]-Reference_Nights[[#This Row],[Unavailable_days]]</f>
        <v>28</v>
      </c>
    </row>
    <row r="118" spans="1:5" x14ac:dyDescent="0.2">
      <c r="A118" t="s">
        <v>1128</v>
      </c>
      <c r="B118" t="s">
        <v>297</v>
      </c>
      <c r="C118">
        <f t="shared" si="7"/>
        <v>31</v>
      </c>
      <c r="D118">
        <v>3</v>
      </c>
      <c r="E118">
        <f>Reference_Nights[[#This Row],[Days_in_month]]-Reference_Nights[[#This Row],[Unavailable_days]]</f>
        <v>28</v>
      </c>
    </row>
    <row r="119" spans="1:5" x14ac:dyDescent="0.2">
      <c r="A119" s="13" t="s">
        <v>1129</v>
      </c>
      <c r="B119" t="s">
        <v>295</v>
      </c>
      <c r="C119">
        <f t="shared" si="7"/>
        <v>30</v>
      </c>
      <c r="D119">
        <v>3</v>
      </c>
      <c r="E119">
        <f>Reference_Nights[[#This Row],[Days_in_month]]-Reference_Nights[[#This Row],[Unavailable_days]]</f>
        <v>27</v>
      </c>
    </row>
    <row r="120" spans="1:5" x14ac:dyDescent="0.2">
      <c r="A120" s="13" t="s">
        <v>1129</v>
      </c>
      <c r="B120" t="s">
        <v>296</v>
      </c>
      <c r="C120">
        <f t="shared" si="7"/>
        <v>30</v>
      </c>
      <c r="D120">
        <v>3</v>
      </c>
      <c r="E120">
        <f>Reference_Nights[[#This Row],[Days_in_month]]-Reference_Nights[[#This Row],[Unavailable_days]]</f>
        <v>27</v>
      </c>
    </row>
    <row r="121" spans="1:5" x14ac:dyDescent="0.2">
      <c r="A121" t="s">
        <v>1129</v>
      </c>
      <c r="B121" t="s">
        <v>297</v>
      </c>
      <c r="C121">
        <f t="shared" si="7"/>
        <v>30</v>
      </c>
      <c r="D121">
        <v>3</v>
      </c>
      <c r="E121">
        <f>Reference_Nights[[#This Row],[Days_in_month]]-Reference_Nights[[#This Row],[Unavailable_days]]</f>
        <v>27</v>
      </c>
    </row>
    <row r="122" spans="1:5" x14ac:dyDescent="0.2">
      <c r="A122" s="13" t="s">
        <v>1130</v>
      </c>
      <c r="B122" t="s">
        <v>295</v>
      </c>
      <c r="C122">
        <f t="shared" si="7"/>
        <v>31</v>
      </c>
      <c r="D122">
        <v>3</v>
      </c>
      <c r="E122">
        <f>Reference_Nights[[#This Row],[Days_in_month]]-Reference_Nights[[#This Row],[Unavailable_days]]</f>
        <v>28</v>
      </c>
    </row>
    <row r="123" spans="1:5" x14ac:dyDescent="0.2">
      <c r="A123" s="13" t="s">
        <v>1130</v>
      </c>
      <c r="B123" t="s">
        <v>296</v>
      </c>
      <c r="C123">
        <f t="shared" si="7"/>
        <v>31</v>
      </c>
      <c r="D123">
        <v>3</v>
      </c>
      <c r="E123">
        <f>Reference_Nights[[#This Row],[Days_in_month]]-Reference_Nights[[#This Row],[Unavailable_days]]</f>
        <v>28</v>
      </c>
    </row>
    <row r="124" spans="1:5" x14ac:dyDescent="0.2">
      <c r="A124" t="s">
        <v>1130</v>
      </c>
      <c r="B124" t="s">
        <v>297</v>
      </c>
      <c r="C124">
        <f t="shared" si="7"/>
        <v>31</v>
      </c>
      <c r="D124">
        <v>3</v>
      </c>
      <c r="E124">
        <f>Reference_Nights[[#This Row],[Days_in_month]]-Reference_Nights[[#This Row],[Unavailable_days]]</f>
        <v>28</v>
      </c>
    </row>
    <row r="125" spans="1:5" x14ac:dyDescent="0.2">
      <c r="A125" s="13" t="s">
        <v>1131</v>
      </c>
      <c r="B125" t="s">
        <v>295</v>
      </c>
      <c r="C125">
        <f t="shared" si="7"/>
        <v>31</v>
      </c>
      <c r="D125">
        <v>3</v>
      </c>
      <c r="E125">
        <f>Reference_Nights[[#This Row],[Days_in_month]]-Reference_Nights[[#This Row],[Unavailable_days]]</f>
        <v>28</v>
      </c>
    </row>
    <row r="126" spans="1:5" x14ac:dyDescent="0.2">
      <c r="A126" s="13" t="s">
        <v>1131</v>
      </c>
      <c r="B126" t="s">
        <v>296</v>
      </c>
      <c r="C126">
        <f t="shared" si="7"/>
        <v>31</v>
      </c>
      <c r="D126">
        <v>3</v>
      </c>
      <c r="E126">
        <f>Reference_Nights[[#This Row],[Days_in_month]]-Reference_Nights[[#This Row],[Unavailable_days]]</f>
        <v>28</v>
      </c>
    </row>
    <row r="127" spans="1:5" x14ac:dyDescent="0.2">
      <c r="A127" t="s">
        <v>1131</v>
      </c>
      <c r="B127" t="s">
        <v>297</v>
      </c>
      <c r="C127">
        <f t="shared" si="7"/>
        <v>31</v>
      </c>
      <c r="D127">
        <v>3</v>
      </c>
      <c r="E127">
        <f>Reference_Nights[[#This Row],[Days_in_month]]-Reference_Nights[[#This Row],[Unavailable_days]]</f>
        <v>28</v>
      </c>
    </row>
    <row r="128" spans="1:5" x14ac:dyDescent="0.2">
      <c r="A128" s="13" t="s">
        <v>1132</v>
      </c>
      <c r="B128" t="s">
        <v>295</v>
      </c>
      <c r="C128">
        <f t="shared" si="7"/>
        <v>30</v>
      </c>
      <c r="D128">
        <v>3</v>
      </c>
      <c r="E128">
        <f>Reference_Nights[[#This Row],[Days_in_month]]-Reference_Nights[[#This Row],[Unavailable_days]]</f>
        <v>27</v>
      </c>
    </row>
    <row r="129" spans="1:5" x14ac:dyDescent="0.2">
      <c r="A129" s="13" t="s">
        <v>1132</v>
      </c>
      <c r="B129" t="s">
        <v>296</v>
      </c>
      <c r="C129">
        <f t="shared" si="7"/>
        <v>30</v>
      </c>
      <c r="D129">
        <v>3</v>
      </c>
      <c r="E129">
        <f>Reference_Nights[[#This Row],[Days_in_month]]-Reference_Nights[[#This Row],[Unavailable_days]]</f>
        <v>27</v>
      </c>
    </row>
    <row r="130" spans="1:5" x14ac:dyDescent="0.2">
      <c r="A130" t="s">
        <v>1132</v>
      </c>
      <c r="B130" t="s">
        <v>297</v>
      </c>
      <c r="C130">
        <f t="shared" si="7"/>
        <v>30</v>
      </c>
      <c r="D130">
        <v>3</v>
      </c>
      <c r="E130">
        <f>Reference_Nights[[#This Row],[Days_in_month]]-Reference_Nights[[#This Row],[Unavailable_days]]</f>
        <v>27</v>
      </c>
    </row>
    <row r="131" spans="1:5" x14ac:dyDescent="0.2">
      <c r="A131" s="13" t="s">
        <v>1133</v>
      </c>
      <c r="B131" t="s">
        <v>295</v>
      </c>
      <c r="C131">
        <f t="shared" si="7"/>
        <v>31</v>
      </c>
      <c r="D131">
        <v>3</v>
      </c>
      <c r="E131">
        <f>Reference_Nights[[#This Row],[Days_in_month]]-Reference_Nights[[#This Row],[Unavailable_days]]</f>
        <v>28</v>
      </c>
    </row>
    <row r="132" spans="1:5" x14ac:dyDescent="0.2">
      <c r="A132" s="13" t="s">
        <v>1133</v>
      </c>
      <c r="B132" t="s">
        <v>296</v>
      </c>
      <c r="C132">
        <f t="shared" si="7"/>
        <v>31</v>
      </c>
      <c r="D132">
        <v>3</v>
      </c>
      <c r="E132">
        <f>Reference_Nights[[#This Row],[Days_in_month]]-Reference_Nights[[#This Row],[Unavailable_days]]</f>
        <v>28</v>
      </c>
    </row>
    <row r="133" spans="1:5" x14ac:dyDescent="0.2">
      <c r="A133" t="s">
        <v>1133</v>
      </c>
      <c r="B133" t="s">
        <v>297</v>
      </c>
      <c r="C133">
        <f t="shared" si="7"/>
        <v>31</v>
      </c>
      <c r="D133">
        <v>3</v>
      </c>
      <c r="E133">
        <f>Reference_Nights[[#This Row],[Days_in_month]]-Reference_Nights[[#This Row],[Unavailable_days]]</f>
        <v>28</v>
      </c>
    </row>
    <row r="134" spans="1:5" x14ac:dyDescent="0.2">
      <c r="A134" s="13" t="s">
        <v>1134</v>
      </c>
      <c r="B134" t="s">
        <v>295</v>
      </c>
      <c r="C134">
        <f t="shared" si="7"/>
        <v>30</v>
      </c>
      <c r="D134">
        <v>3</v>
      </c>
      <c r="E134">
        <f>Reference_Nights[[#This Row],[Days_in_month]]-Reference_Nights[[#This Row],[Unavailable_days]]</f>
        <v>27</v>
      </c>
    </row>
    <row r="135" spans="1:5" x14ac:dyDescent="0.2">
      <c r="A135" s="13" t="s">
        <v>1134</v>
      </c>
      <c r="B135" t="s">
        <v>296</v>
      </c>
      <c r="C135">
        <f t="shared" si="7"/>
        <v>30</v>
      </c>
      <c r="D135">
        <v>3</v>
      </c>
      <c r="E135">
        <f>Reference_Nights[[#This Row],[Days_in_month]]-Reference_Nights[[#This Row],[Unavailable_days]]</f>
        <v>27</v>
      </c>
    </row>
    <row r="136" spans="1:5" x14ac:dyDescent="0.2">
      <c r="A136" t="s">
        <v>1134</v>
      </c>
      <c r="B136" t="s">
        <v>297</v>
      </c>
      <c r="C136">
        <f t="shared" si="7"/>
        <v>30</v>
      </c>
      <c r="D136">
        <v>3</v>
      </c>
      <c r="E136">
        <f>Reference_Nights[[#This Row],[Days_in_month]]-Reference_Nights[[#This Row],[Unavailable_days]]</f>
        <v>27</v>
      </c>
    </row>
    <row r="137" spans="1:5" x14ac:dyDescent="0.2">
      <c r="A137" s="13" t="s">
        <v>1135</v>
      </c>
      <c r="B137" t="s">
        <v>295</v>
      </c>
      <c r="C137">
        <f t="shared" si="7"/>
        <v>31</v>
      </c>
      <c r="D137">
        <v>3</v>
      </c>
      <c r="E137">
        <f>Reference_Nights[[#This Row],[Days_in_month]]-Reference_Nights[[#This Row],[Unavailable_days]]</f>
        <v>28</v>
      </c>
    </row>
    <row r="138" spans="1:5" x14ac:dyDescent="0.2">
      <c r="A138" s="13" t="s">
        <v>1135</v>
      </c>
      <c r="B138" t="s">
        <v>296</v>
      </c>
      <c r="C138">
        <f t="shared" si="7"/>
        <v>31</v>
      </c>
      <c r="D138">
        <v>3</v>
      </c>
      <c r="E138">
        <f>Reference_Nights[[#This Row],[Days_in_month]]-Reference_Nights[[#This Row],[Unavailable_days]]</f>
        <v>28</v>
      </c>
    </row>
    <row r="139" spans="1:5" x14ac:dyDescent="0.2">
      <c r="A139" t="s">
        <v>1135</v>
      </c>
      <c r="B139" t="s">
        <v>297</v>
      </c>
      <c r="C139">
        <f>DAY(DATE(VALUE(LEFT(A139,4)),VALUE(RIGHT(A139,2))+1,1)-1)</f>
        <v>31</v>
      </c>
      <c r="D139">
        <v>3</v>
      </c>
      <c r="E139">
        <f>Reference_Nights[[#This Row],[Days_in_month]]-Reference_Nights[[#This Row],[Unavailable_days]]</f>
        <v>28</v>
      </c>
    </row>
    <row r="140" spans="1:5" x14ac:dyDescent="0.2">
      <c r="A140" s="13" t="s">
        <v>1136</v>
      </c>
      <c r="B140" t="s">
        <v>295</v>
      </c>
      <c r="C140">
        <f>DAY(DATE(VALUE(LEFT(A140,4)),VALUE(RIGHT(A140,2))+1,1)-1)</f>
        <v>31</v>
      </c>
      <c r="D140">
        <v>3</v>
      </c>
      <c r="E140">
        <f>Reference_Nights[[#This Row],[Days_in_month]]-Reference_Nights[[#This Row],[Unavailable_days]]</f>
        <v>28</v>
      </c>
    </row>
    <row r="141" spans="1:5" x14ac:dyDescent="0.2">
      <c r="A141" s="13" t="s">
        <v>1136</v>
      </c>
      <c r="B141" t="s">
        <v>296</v>
      </c>
      <c r="C141">
        <f t="shared" ref="C141:C148" si="8">DAY(DATE(VALUE(LEFT(A141,4)),VALUE(RIGHT(A141,2))+1,1)-1)</f>
        <v>31</v>
      </c>
      <c r="D141">
        <v>3</v>
      </c>
      <c r="E141">
        <f>Reference_Nights[[#This Row],[Days_in_month]]-Reference_Nights[[#This Row],[Unavailable_days]]</f>
        <v>28</v>
      </c>
    </row>
    <row r="142" spans="1:5" x14ac:dyDescent="0.2">
      <c r="A142" t="s">
        <v>1136</v>
      </c>
      <c r="B142" t="s">
        <v>297</v>
      </c>
      <c r="C142">
        <f t="shared" si="8"/>
        <v>31</v>
      </c>
      <c r="D142">
        <v>3</v>
      </c>
      <c r="E142">
        <f>Reference_Nights[[#This Row],[Days_in_month]]-Reference_Nights[[#This Row],[Unavailable_days]]</f>
        <v>28</v>
      </c>
    </row>
    <row r="143" spans="1:5" x14ac:dyDescent="0.2">
      <c r="A143" s="13" t="s">
        <v>1137</v>
      </c>
      <c r="B143" t="s">
        <v>295</v>
      </c>
      <c r="C143">
        <f t="shared" si="8"/>
        <v>28</v>
      </c>
      <c r="D143">
        <v>3</v>
      </c>
      <c r="E143">
        <f>Reference_Nights[[#This Row],[Days_in_month]]-Reference_Nights[[#This Row],[Unavailable_days]]</f>
        <v>25</v>
      </c>
    </row>
    <row r="144" spans="1:5" x14ac:dyDescent="0.2">
      <c r="A144" s="13" t="s">
        <v>1137</v>
      </c>
      <c r="B144" t="s">
        <v>296</v>
      </c>
      <c r="C144">
        <f t="shared" si="8"/>
        <v>28</v>
      </c>
      <c r="D144">
        <v>3</v>
      </c>
      <c r="E144">
        <f>Reference_Nights[[#This Row],[Days_in_month]]-Reference_Nights[[#This Row],[Unavailable_days]]</f>
        <v>25</v>
      </c>
    </row>
    <row r="145" spans="1:5" x14ac:dyDescent="0.2">
      <c r="A145" t="s">
        <v>1137</v>
      </c>
      <c r="B145" t="s">
        <v>297</v>
      </c>
      <c r="C145">
        <f t="shared" si="8"/>
        <v>28</v>
      </c>
      <c r="D145">
        <v>3</v>
      </c>
      <c r="E145">
        <f>Reference_Nights[[#This Row],[Days_in_month]]-Reference_Nights[[#This Row],[Unavailable_days]]</f>
        <v>25</v>
      </c>
    </row>
    <row r="146" spans="1:5" x14ac:dyDescent="0.2">
      <c r="A146" s="13" t="s">
        <v>1138</v>
      </c>
      <c r="B146" t="s">
        <v>295</v>
      </c>
      <c r="C146">
        <f t="shared" si="8"/>
        <v>31</v>
      </c>
      <c r="D146">
        <v>3</v>
      </c>
      <c r="E146">
        <f>Reference_Nights[[#This Row],[Days_in_month]]-Reference_Nights[[#This Row],[Unavailable_days]]</f>
        <v>28</v>
      </c>
    </row>
    <row r="147" spans="1:5" x14ac:dyDescent="0.2">
      <c r="A147" s="13" t="s">
        <v>1138</v>
      </c>
      <c r="B147" t="s">
        <v>296</v>
      </c>
      <c r="C147">
        <f t="shared" si="8"/>
        <v>31</v>
      </c>
      <c r="D147">
        <v>3</v>
      </c>
      <c r="E147">
        <f>Reference_Nights[[#This Row],[Days_in_month]]-Reference_Nights[[#This Row],[Unavailable_days]]</f>
        <v>28</v>
      </c>
    </row>
    <row r="148" spans="1:5" x14ac:dyDescent="0.2">
      <c r="A148" t="s">
        <v>1138</v>
      </c>
      <c r="B148" t="s">
        <v>297</v>
      </c>
      <c r="C148">
        <f t="shared" si="8"/>
        <v>31</v>
      </c>
      <c r="D148">
        <v>3</v>
      </c>
      <c r="E148">
        <f>Reference_Nights[[#This Row],[Days_in_month]]-Reference_Nights[[#This Row],[Unavailable_days]]</f>
        <v>28</v>
      </c>
    </row>
    <row r="149" spans="1:5" x14ac:dyDescent="0.2">
      <c r="A149" s="13" t="s">
        <v>1139</v>
      </c>
      <c r="B149" t="s">
        <v>295</v>
      </c>
      <c r="C149">
        <f>DAY(DATE(VALUE(LEFT(A149,4)),VALUE(RIGHT(A149,2))+1,1)-1)</f>
        <v>30</v>
      </c>
      <c r="D149">
        <v>3</v>
      </c>
      <c r="E149">
        <f>Reference_Nights[[#This Row],[Days_in_month]]-Reference_Nights[[#This Row],[Unavailable_days]]</f>
        <v>27</v>
      </c>
    </row>
    <row r="150" spans="1:5" x14ac:dyDescent="0.2">
      <c r="A150" s="13" t="s">
        <v>1139</v>
      </c>
      <c r="B150" t="s">
        <v>296</v>
      </c>
      <c r="C150">
        <f>DAY(DATE(VALUE(LEFT(A150,4)),VALUE(RIGHT(A150,2))+1,1)-1)</f>
        <v>30</v>
      </c>
      <c r="D150">
        <v>3</v>
      </c>
      <c r="E150">
        <f>Reference_Nights[[#This Row],[Days_in_month]]-Reference_Nights[[#This Row],[Unavailable_days]]</f>
        <v>27</v>
      </c>
    </row>
    <row r="151" spans="1:5" x14ac:dyDescent="0.2">
      <c r="A151" t="s">
        <v>1139</v>
      </c>
      <c r="B151" t="s">
        <v>297</v>
      </c>
      <c r="C151">
        <f t="shared" ref="C151:C154" si="9">DAY(DATE(VALUE(LEFT(A151,4)),VALUE(RIGHT(A151,2))+1,1)-1)</f>
        <v>30</v>
      </c>
      <c r="D151">
        <v>3</v>
      </c>
      <c r="E151">
        <f>Reference_Nights[[#This Row],[Days_in_month]]-Reference_Nights[[#This Row],[Unavailable_days]]</f>
        <v>27</v>
      </c>
    </row>
    <row r="152" spans="1:5" x14ac:dyDescent="0.2">
      <c r="A152" s="13" t="s">
        <v>1140</v>
      </c>
      <c r="B152" t="s">
        <v>295</v>
      </c>
      <c r="C152">
        <f t="shared" si="9"/>
        <v>31</v>
      </c>
      <c r="D152">
        <v>3</v>
      </c>
      <c r="E152">
        <f>Reference_Nights[[#This Row],[Days_in_month]]-Reference_Nights[[#This Row],[Unavailable_days]]</f>
        <v>28</v>
      </c>
    </row>
    <row r="153" spans="1:5" x14ac:dyDescent="0.2">
      <c r="A153" s="13" t="s">
        <v>1140</v>
      </c>
      <c r="B153" t="s">
        <v>296</v>
      </c>
      <c r="C153">
        <f t="shared" si="9"/>
        <v>31</v>
      </c>
      <c r="D153">
        <v>3</v>
      </c>
      <c r="E153">
        <f>Reference_Nights[[#This Row],[Days_in_month]]-Reference_Nights[[#This Row],[Unavailable_days]]</f>
        <v>28</v>
      </c>
    </row>
    <row r="154" spans="1:5" x14ac:dyDescent="0.2">
      <c r="A154" t="s">
        <v>1140</v>
      </c>
      <c r="B154" t="s">
        <v>297</v>
      </c>
      <c r="C154">
        <f t="shared" si="9"/>
        <v>31</v>
      </c>
      <c r="D154">
        <v>3</v>
      </c>
      <c r="E154">
        <f>Reference_Nights[[#This Row],[Days_in_month]]-Reference_Nights[[#This Row],[Unavailable_days]]</f>
        <v>28</v>
      </c>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8779-5CD2-CB40-92F4-10D9DCFBC447}">
  <dimension ref="A1:P143"/>
  <sheetViews>
    <sheetView workbookViewId="0">
      <pane xSplit="2" ySplit="1" topLeftCell="C2" activePane="bottomRight" state="frozen"/>
      <selection pane="topRight" activeCell="C1" sqref="C1"/>
      <selection pane="bottomLeft" activeCell="A2" sqref="A2"/>
      <selection pane="bottomRight" activeCell="M2" sqref="M2"/>
    </sheetView>
  </sheetViews>
  <sheetFormatPr baseColWidth="10" defaultRowHeight="16" x14ac:dyDescent="0.2"/>
  <cols>
    <col min="1" max="1" width="8.83203125" style="13" customWidth="1"/>
    <col min="2" max="2" width="8.33203125" customWidth="1"/>
    <col min="3" max="3" width="11.1640625" style="5" customWidth="1"/>
    <col min="4" max="4" width="16.1640625" customWidth="1"/>
    <col min="5" max="5" width="12.5" style="5" customWidth="1"/>
    <col min="6" max="6" width="13.5" style="18" customWidth="1"/>
    <col min="7" max="7" width="14.1640625" style="5" customWidth="1"/>
    <col min="8" max="8" width="17.83203125" style="5" customWidth="1"/>
    <col min="9" max="9" width="11.33203125" style="5" customWidth="1"/>
    <col min="10" max="10" width="15.6640625" style="5" customWidth="1"/>
    <col min="11" max="11" width="11.33203125" style="18" customWidth="1"/>
    <col min="12" max="12" width="17.83203125" customWidth="1"/>
    <col min="13" max="13" width="17.5" style="18" customWidth="1"/>
    <col min="14" max="14" width="16.33203125" style="5" customWidth="1"/>
    <col min="15" max="15" width="18.33203125" style="5" customWidth="1"/>
    <col min="16" max="16" width="17.1640625" style="18" customWidth="1"/>
  </cols>
  <sheetData>
    <row r="1" spans="1:16" s="16" customFormat="1" x14ac:dyDescent="0.2">
      <c r="A1" s="31" t="s">
        <v>1089</v>
      </c>
      <c r="B1" s="16" t="s">
        <v>1083</v>
      </c>
      <c r="C1" s="15" t="s">
        <v>1084</v>
      </c>
      <c r="D1" s="22" t="s">
        <v>1152</v>
      </c>
      <c r="E1" s="26" t="s">
        <v>1085</v>
      </c>
      <c r="F1" s="17" t="s">
        <v>1086</v>
      </c>
      <c r="G1" s="15" t="s">
        <v>1087</v>
      </c>
      <c r="H1" s="15" t="s">
        <v>1143</v>
      </c>
      <c r="I1" s="15" t="s">
        <v>1088</v>
      </c>
      <c r="J1" s="26" t="s">
        <v>1146</v>
      </c>
      <c r="K1" s="17" t="s">
        <v>1142</v>
      </c>
      <c r="L1" s="22" t="s">
        <v>1153</v>
      </c>
      <c r="M1" s="17" t="s">
        <v>1154</v>
      </c>
      <c r="N1" s="15" t="s">
        <v>1160</v>
      </c>
      <c r="O1" s="26" t="s">
        <v>1162</v>
      </c>
      <c r="P1" s="17" t="s">
        <v>1161</v>
      </c>
    </row>
    <row r="2" spans="1:16" s="16" customFormat="1" x14ac:dyDescent="0.2">
      <c r="A2" s="13" t="s">
        <v>1158</v>
      </c>
      <c r="B2" t="s">
        <v>295</v>
      </c>
      <c r="C2" s="5">
        <f>SUMIFS(Table1[FULL AMOUNT mxn pesos], Table1[Month], A2, Table1[APARTMENT], B2)</f>
        <v>0</v>
      </c>
      <c r="D2">
        <f>SUMIFS(INCOME!C:C, INCOME!D:D, Table2[[#This Row],[Apt]], INCOME!J:J, Table2[[#This Row],[Month]])</f>
        <v>0</v>
      </c>
      <c r="E2" s="5">
        <f>SUMIFS(EXPENSES!$D:$D, EXPENSES!$C:$C, B2, EXPENSES!$F:$F, A2, EXPENSES!$E:$E, "Direct")</f>
        <v>3464.76</v>
      </c>
      <c r="F2" s="18">
        <f t="shared" ref="F2:F33" si="0">IF(C2=0,0,C2/SUMIF(A:A,A2,C:C))</f>
        <v>0</v>
      </c>
      <c r="G2" s="5">
        <f>SUMIFS(EXPENSES!D:D, EXPENSES!F:F, Data_Consolidado!A2, EXPENSES!E:E, "Shared")</f>
        <v>5188</v>
      </c>
      <c r="H2" s="5">
        <f>Table2[[#This Row],[Shared_Total]]/2</f>
        <v>2594</v>
      </c>
      <c r="I2" s="5">
        <f t="shared" ref="I2:I5" si="1">E2+H2</f>
        <v>6058.76</v>
      </c>
      <c r="J2" s="5">
        <f t="shared" ref="J2:J5" si="2">C2-I2</f>
        <v>-6058.76</v>
      </c>
      <c r="K2" s="18" t="str">
        <f t="shared" ref="K2:K5" si="3">IF(C2=0, "-", (J2/C2))</f>
        <v>-</v>
      </c>
      <c r="L2">
        <f>SUMIFS(Reference_Nights[[#All],[Available_nights]], Reference_Nights[[#All],[Month]], Table2[[#This Row],[Month]], Reference_Nights[[#All],[Apt]], Table2[[#This Row],[Apt]])</f>
        <v>0</v>
      </c>
      <c r="M2" s="18">
        <f>IF(Table2[[#This Row],[Available _Nights]]=0, 0, Table2[[#This Row],[Booked_Nights]]/Table2[[#This Row],[Available _Nights]])</f>
        <v>0</v>
      </c>
      <c r="N2" s="29">
        <f>IF(Table2[[#This Row],[Booked_Nights]]=0, 0, Table2[[#This Row],[Income]]/Table2[[#This Row],[Booked_Nights]])</f>
        <v>0</v>
      </c>
      <c r="O2" s="29">
        <f>IF(L2=0,0, Table2[[#This Row],[Income]]/Table2[[#This Row],[Available _Nights]])</f>
        <v>0</v>
      </c>
      <c r="P2" s="30">
        <f>IF(Table2[[#This Row],[Income]]=0,0,Table2[[#This Row],[Total_Exp]]/Table2[[#This Row],[Income]])</f>
        <v>0</v>
      </c>
    </row>
    <row r="3" spans="1:16" s="16" customFormat="1" x14ac:dyDescent="0.2">
      <c r="A3" s="13" t="s">
        <v>1158</v>
      </c>
      <c r="B3" t="s">
        <v>296</v>
      </c>
      <c r="C3" s="5">
        <f>SUMIFS(Table1[FULL AMOUNT mxn pesos], Table1[Month], A3, Table1[APARTMENT], B3)</f>
        <v>0</v>
      </c>
      <c r="D3">
        <f>SUMIFS(INCOME!C:C, INCOME!D:D, Table2[[#This Row],[Apt]], INCOME!J:J, Table2[[#This Row],[Month]])</f>
        <v>0</v>
      </c>
      <c r="E3" s="5">
        <f>SUMIFS(EXPENSES!$D:$D, EXPENSES!$C:$C, B3, EXPENSES!$F:$F, A3, EXPENSES!$E:$E, "Direct")</f>
        <v>39110.720000000001</v>
      </c>
      <c r="F3" s="18">
        <f t="shared" si="0"/>
        <v>0</v>
      </c>
      <c r="G3" s="5">
        <f>SUMIFS(EXPENSES!D:D, EXPENSES!F:F, Data_Consolidado!A3, EXPENSES!E:E, "Shared")</f>
        <v>5188</v>
      </c>
      <c r="H3" s="5">
        <f>Table2[[#This Row],[Shared_Total]]/2</f>
        <v>2594</v>
      </c>
      <c r="I3" s="5">
        <f t="shared" si="1"/>
        <v>41704.720000000001</v>
      </c>
      <c r="J3" s="5">
        <f t="shared" si="2"/>
        <v>-41704.720000000001</v>
      </c>
      <c r="K3" s="18" t="str">
        <f t="shared" si="3"/>
        <v>-</v>
      </c>
      <c r="L3">
        <f>SUMIFS(Reference_Nights[[#All],[Available_nights]], Reference_Nights[[#All],[Month]], Table2[[#This Row],[Month]], Reference_Nights[[#All],[Apt]], Table2[[#This Row],[Apt]])</f>
        <v>0</v>
      </c>
      <c r="M3" s="18">
        <f>IF(Table2[[#This Row],[Available _Nights]]=0, 0, Table2[[#This Row],[Booked_Nights]]/Table2[[#This Row],[Available _Nights]])</f>
        <v>0</v>
      </c>
      <c r="N3" s="29">
        <f>IF(Table2[[#This Row],[Booked_Nights]]=0, 0, Table2[[#This Row],[Income]]/Table2[[#This Row],[Booked_Nights]])</f>
        <v>0</v>
      </c>
      <c r="O3" s="29">
        <f>IF(L3=0,0, Table2[[#This Row],[Income]]/Table2[[#This Row],[Available _Nights]])</f>
        <v>0</v>
      </c>
      <c r="P3" s="30">
        <f>IF(Table2[[#This Row],[Income]]=0,0,Table2[[#This Row],[Total_Exp]]/Table2[[#This Row],[Income]])</f>
        <v>0</v>
      </c>
    </row>
    <row r="4" spans="1:16" s="16" customFormat="1" x14ac:dyDescent="0.2">
      <c r="A4" s="13" t="s">
        <v>1159</v>
      </c>
      <c r="B4" t="s">
        <v>295</v>
      </c>
      <c r="C4" s="5">
        <f>SUMIFS(Table1[FULL AMOUNT mxn pesos], Table1[Month], A4, Table1[APARTMENT], B4)</f>
        <v>0</v>
      </c>
      <c r="D4">
        <f>SUMIFS(INCOME!C:C, INCOME!D:D, Table2[[#This Row],[Apt]], INCOME!J:J, Table2[[#This Row],[Month]])</f>
        <v>0</v>
      </c>
      <c r="E4" s="5">
        <f>SUMIFS(EXPENSES!$D:$D, EXPENSES!$C:$C, B4, EXPENSES!$F:$F, A4, EXPENSES!$E:$E, "Direct")</f>
        <v>9560</v>
      </c>
      <c r="F4" s="18">
        <f t="shared" si="0"/>
        <v>0</v>
      </c>
      <c r="G4" s="5">
        <f>SUMIFS(EXPENSES!D:D, EXPENSES!F:F, Data_Consolidado!A4, EXPENSES!E:E, "Shared")</f>
        <v>1240</v>
      </c>
      <c r="H4" s="5">
        <f>Table2[[#This Row],[Shared_Total]]/2</f>
        <v>620</v>
      </c>
      <c r="I4" s="5">
        <f t="shared" si="1"/>
        <v>10180</v>
      </c>
      <c r="J4" s="5">
        <f t="shared" si="2"/>
        <v>-10180</v>
      </c>
      <c r="K4" s="18" t="str">
        <f t="shared" si="3"/>
        <v>-</v>
      </c>
      <c r="L4">
        <f>SUMIFS(Reference_Nights[[#All],[Available_nights]], Reference_Nights[[#All],[Month]], Table2[[#This Row],[Month]], Reference_Nights[[#All],[Apt]], Table2[[#This Row],[Apt]])</f>
        <v>0</v>
      </c>
      <c r="M4" s="18">
        <f>IF(Table2[[#This Row],[Available _Nights]]=0, 0, Table2[[#This Row],[Booked_Nights]]/Table2[[#This Row],[Available _Nights]])</f>
        <v>0</v>
      </c>
      <c r="N4" s="29">
        <f>IF(Table2[[#This Row],[Booked_Nights]]=0, 0, Table2[[#This Row],[Income]]/Table2[[#This Row],[Booked_Nights]])</f>
        <v>0</v>
      </c>
      <c r="O4" s="29">
        <f>IF(L4=0,0, Table2[[#This Row],[Income]]/Table2[[#This Row],[Available _Nights]])</f>
        <v>0</v>
      </c>
      <c r="P4" s="30">
        <f>IF(Table2[[#This Row],[Income]]=0,0,Table2[[#This Row],[Total_Exp]]/Table2[[#This Row],[Income]])</f>
        <v>0</v>
      </c>
    </row>
    <row r="5" spans="1:16" s="16" customFormat="1" x14ac:dyDescent="0.2">
      <c r="A5" s="13" t="s">
        <v>1159</v>
      </c>
      <c r="B5" t="s">
        <v>296</v>
      </c>
      <c r="C5" s="5">
        <f>SUMIFS(Table1[FULL AMOUNT mxn pesos], Table1[Month], A5, Table1[APARTMENT], B5)</f>
        <v>0</v>
      </c>
      <c r="D5">
        <f>SUMIFS(INCOME!C:C, INCOME!D:D, Table2[[#This Row],[Apt]], INCOME!J:J, Table2[[#This Row],[Month]])</f>
        <v>0</v>
      </c>
      <c r="E5" s="5">
        <f>SUMIFS(EXPENSES!$D:$D, EXPENSES!$C:$C, B5, EXPENSES!$F:$F, A5, EXPENSES!$E:$E, "Direct")</f>
        <v>26307</v>
      </c>
      <c r="F5" s="18">
        <f t="shared" si="0"/>
        <v>0</v>
      </c>
      <c r="G5" s="5">
        <f>SUMIFS(EXPENSES!D:D, EXPENSES!F:F, Data_Consolidado!A5, EXPENSES!E:E, "Shared")</f>
        <v>1240</v>
      </c>
      <c r="H5" s="5">
        <f>Table2[[#This Row],[Shared_Total]]/2</f>
        <v>620</v>
      </c>
      <c r="I5" s="5">
        <f t="shared" si="1"/>
        <v>26927</v>
      </c>
      <c r="J5" s="5">
        <f t="shared" si="2"/>
        <v>-26927</v>
      </c>
      <c r="K5" s="18" t="str">
        <f t="shared" si="3"/>
        <v>-</v>
      </c>
      <c r="L5">
        <f>SUMIFS(Reference_Nights[[#All],[Available_nights]], Reference_Nights[[#All],[Month]], Table2[[#This Row],[Month]], Reference_Nights[[#All],[Apt]], Table2[[#This Row],[Apt]])</f>
        <v>0</v>
      </c>
      <c r="M5" s="18">
        <f>IF(Table2[[#This Row],[Available _Nights]]=0, 0, Table2[[#This Row],[Booked_Nights]]/Table2[[#This Row],[Available _Nights]])</f>
        <v>0</v>
      </c>
      <c r="N5" s="29">
        <f>IF(Table2[[#This Row],[Booked_Nights]]=0, 0, Table2[[#This Row],[Income]]/Table2[[#This Row],[Booked_Nights]])</f>
        <v>0</v>
      </c>
      <c r="O5" s="29">
        <f>IF(L5=0,0, Table2[[#This Row],[Income]]/Table2[[#This Row],[Available _Nights]])</f>
        <v>0</v>
      </c>
      <c r="P5" s="30">
        <f>IF(Table2[[#This Row],[Income]]=0,0,Table2[[#This Row],[Total_Exp]]/Table2[[#This Row],[Income]])</f>
        <v>0</v>
      </c>
    </row>
    <row r="6" spans="1:16" x14ac:dyDescent="0.2">
      <c r="A6" s="13" t="s">
        <v>1090</v>
      </c>
      <c r="B6" t="s">
        <v>295</v>
      </c>
      <c r="C6" s="5">
        <f>SUMIFS(Table1[FULL AMOUNT mxn pesos], Table1[Month], A6, Table1[APARTMENT], B6)</f>
        <v>33655.800000000003</v>
      </c>
      <c r="D6">
        <f>SUMIFS(INCOME!C:C, INCOME!D:D, Table2[[#This Row],[Apt]], INCOME!J:J, Table2[[#This Row],[Month]])</f>
        <v>23</v>
      </c>
      <c r="E6" s="5">
        <f>SUMIFS(EXPENSES!$D:$D, EXPENSES!$C:$C, B6, EXPENSES!$F:$F, A6, EXPENSES!$E:$E, "Direct")</f>
        <v>5533</v>
      </c>
      <c r="F6" s="18">
        <f t="shared" si="0"/>
        <v>0.50731064671337445</v>
      </c>
      <c r="G6" s="5">
        <f>SUMIFS(EXPENSES!D:D, EXPENSES!F:F, Data_Consolidado!A6, EXPENSES!E:E, "Shared")</f>
        <v>7565.5</v>
      </c>
      <c r="H6" s="5">
        <f>G6*F6</f>
        <v>3838.0586977100343</v>
      </c>
      <c r="I6" s="5">
        <f>E6+H6</f>
        <v>9371.0586977100338</v>
      </c>
      <c r="J6" s="5">
        <f>C6-I6</f>
        <v>24284.741302289971</v>
      </c>
      <c r="K6" s="18">
        <f>IF(C6=0, "-", (J6/C6))</f>
        <v>0.72156184973436877</v>
      </c>
      <c r="L6">
        <f>SUMIFS(Reference_Nights[[#All],[Available_nights]], Reference_Nights[[#All],[Month]], Table2[[#This Row],[Month]], Reference_Nights[[#All],[Apt]], Table2[[#This Row],[Apt]])</f>
        <v>28</v>
      </c>
      <c r="M6" s="18">
        <f>IF(Table2[[#This Row],[Available _Nights]]=0, 0, Table2[[#This Row],[Booked_Nights]]/Table2[[#This Row],[Available _Nights]])</f>
        <v>0.8214285714285714</v>
      </c>
      <c r="N6" s="29">
        <f>IF(Table2[[#This Row],[Booked_Nights]]=0, 0, Table2[[#This Row],[Income]]/Table2[[#This Row],[Booked_Nights]])</f>
        <v>1463.2956521739131</v>
      </c>
      <c r="O6" s="29">
        <f>IF(L6=0,0, Table2[[#This Row],[Income]]/Table2[[#This Row],[Available _Nights]])</f>
        <v>1201.9928571428572</v>
      </c>
      <c r="P6" s="30">
        <f>IF(Table2[[#This Row],[Income]]=0,0,Table2[[#This Row],[Total_Exp]]/Table2[[#This Row],[Income]])</f>
        <v>0.27843815026563129</v>
      </c>
    </row>
    <row r="7" spans="1:16" x14ac:dyDescent="0.2">
      <c r="A7" s="13" t="s">
        <v>1090</v>
      </c>
      <c r="B7" t="s">
        <v>296</v>
      </c>
      <c r="C7" s="5">
        <f>SUMIFS(Table1[FULL AMOUNT mxn pesos], Table1[Month], A7, Table1[APARTMENT], B7)</f>
        <v>32685.8</v>
      </c>
      <c r="D7">
        <f>SUMIFS(INCOME!C:C, INCOME!D:D, Table2[[#This Row],[Apt]], INCOME!J:J, Table2[[#This Row],[Month]])</f>
        <v>21</v>
      </c>
      <c r="E7" s="5">
        <f>SUMIFS(EXPENSES!$D:$D, EXPENSES!$C:$C, B7, EXPENSES!$F:$F, A7, EXPENSES!$E:$E, "Direct")</f>
        <v>16096.75</v>
      </c>
      <c r="F7" s="18">
        <f t="shared" si="0"/>
        <v>0.49268935328662555</v>
      </c>
      <c r="G7" s="5">
        <f>SUMIFS(EXPENSES!D:D, EXPENSES!F:F, Data_Consolidado!A7, EXPENSES!E:E, "Shared")</f>
        <v>7565.5</v>
      </c>
      <c r="H7" s="5">
        <f t="shared" ref="H7:H99" si="4">G7*F7</f>
        <v>3727.4413022899657</v>
      </c>
      <c r="I7" s="5">
        <f t="shared" ref="I7:I99" si="5">E7+H7</f>
        <v>19824.191302289964</v>
      </c>
      <c r="J7" s="5">
        <f t="shared" ref="J7:J99" si="6">C7-I7</f>
        <v>12861.608697710035</v>
      </c>
      <c r="K7" s="18">
        <f t="shared" ref="K7:K99" si="7">IF(C7=0, "-", (J7/C7))</f>
        <v>0.39349224120902765</v>
      </c>
      <c r="L7">
        <f>SUMIFS(Reference_Nights[[#All],[Available_nights]], Reference_Nights[[#All],[Month]], Table2[[#This Row],[Month]], Reference_Nights[[#All],[Apt]], Table2[[#This Row],[Apt]])</f>
        <v>28</v>
      </c>
      <c r="M7" s="18">
        <f>IF(Table2[[#This Row],[Available _Nights]]=0, 0, Table2[[#This Row],[Booked_Nights]]/Table2[[#This Row],[Available _Nights]])</f>
        <v>0.75</v>
      </c>
      <c r="N7" s="29">
        <f>IF(Table2[[#This Row],[Booked_Nights]]=0, 0, Table2[[#This Row],[Income]]/Table2[[#This Row],[Booked_Nights]])</f>
        <v>1556.4666666666667</v>
      </c>
      <c r="O7" s="29">
        <f>IF(L7=0,0, Table2[[#This Row],[Income]]/Table2[[#This Row],[Available _Nights]])</f>
        <v>1167.3499999999999</v>
      </c>
      <c r="P7" s="30">
        <f>IF(Table2[[#This Row],[Income]]=0,0,Table2[[#This Row],[Total_Exp]]/Table2[[#This Row],[Income]])</f>
        <v>0.60650775879097241</v>
      </c>
    </row>
    <row r="8" spans="1:16" x14ac:dyDescent="0.2">
      <c r="A8" s="13" t="s">
        <v>1091</v>
      </c>
      <c r="B8" t="s">
        <v>295</v>
      </c>
      <c r="C8" s="5">
        <f>SUMIFS(Table1[FULL AMOUNT mxn pesos], Table1[Month], A8, Table1[APARTMENT], B8)</f>
        <v>68562.600000000006</v>
      </c>
      <c r="D8">
        <f>SUMIFS(INCOME!C:C, INCOME!D:D, Table2[[#This Row],[Apt]], INCOME!J:J, Table2[[#This Row],[Month]])</f>
        <v>26</v>
      </c>
      <c r="E8" s="5">
        <f>SUMIFS(EXPENSES!$D:$D, EXPENSES!$C:$C, B8, EXPENSES!$F:$F, A8, EXPENSES!$E:$E, "Direct")</f>
        <v>11030</v>
      </c>
      <c r="F8" s="18">
        <f t="shared" si="0"/>
        <v>0.58247245764151778</v>
      </c>
      <c r="G8" s="5">
        <f>SUMIFS(EXPENSES!D:D, EXPENSES!F:F, Data_Consolidado!A8, EXPENSES!E:E, "Shared")</f>
        <v>10324</v>
      </c>
      <c r="H8" s="5">
        <f t="shared" si="4"/>
        <v>6013.4456526910299</v>
      </c>
      <c r="I8" s="5">
        <f t="shared" si="5"/>
        <v>17043.445652691029</v>
      </c>
      <c r="J8" s="5">
        <f t="shared" si="6"/>
        <v>51519.154347308977</v>
      </c>
      <c r="K8" s="18">
        <f t="shared" si="7"/>
        <v>0.75141774593304478</v>
      </c>
      <c r="L8">
        <f>SUMIFS(Reference_Nights[[#All],[Available_nights]], Reference_Nights[[#All],[Month]], Table2[[#This Row],[Month]], Reference_Nights[[#All],[Apt]], Table2[[#This Row],[Apt]])</f>
        <v>27</v>
      </c>
      <c r="M8" s="18">
        <f>IF(Table2[[#This Row],[Available _Nights]]=0, 0, Table2[[#This Row],[Booked_Nights]]/Table2[[#This Row],[Available _Nights]])</f>
        <v>0.96296296296296291</v>
      </c>
      <c r="N8" s="29">
        <f>IF(Table2[[#This Row],[Booked_Nights]]=0, 0, Table2[[#This Row],[Income]]/Table2[[#This Row],[Booked_Nights]])</f>
        <v>2637.023076923077</v>
      </c>
      <c r="O8" s="29">
        <f>IF(L8=0,0, Table2[[#This Row],[Income]]/Table2[[#This Row],[Available _Nights]])</f>
        <v>2539.3555555555558</v>
      </c>
      <c r="P8" s="30">
        <f>IF(Table2[[#This Row],[Income]]=0,0,Table2[[#This Row],[Total_Exp]]/Table2[[#This Row],[Income]])</f>
        <v>0.24858225406695528</v>
      </c>
    </row>
    <row r="9" spans="1:16" x14ac:dyDescent="0.2">
      <c r="A9" s="13" t="s">
        <v>1091</v>
      </c>
      <c r="B9" t="s">
        <v>296</v>
      </c>
      <c r="C9" s="5">
        <f>SUMIFS(Table1[FULL AMOUNT mxn pesos], Table1[Month], A9, Table1[APARTMENT], B9)</f>
        <v>49147</v>
      </c>
      <c r="D9">
        <f>SUMIFS(INCOME!C:C, INCOME!D:D, Table2[[#This Row],[Apt]], INCOME!J:J, Table2[[#This Row],[Month]])</f>
        <v>21</v>
      </c>
      <c r="E9" s="5">
        <f>SUMIFS(EXPENSES!$D:$D, EXPENSES!$C:$C, B9, EXPENSES!$F:$F, A9, EXPENSES!$E:$E, "Direct")</f>
        <v>6170</v>
      </c>
      <c r="F9" s="18">
        <f t="shared" si="0"/>
        <v>0.41752754235848222</v>
      </c>
      <c r="G9" s="5">
        <f>SUMIFS(EXPENSES!D:D, EXPENSES!F:F, Data_Consolidado!A9, EXPENSES!E:E, "Shared")</f>
        <v>10324</v>
      </c>
      <c r="H9" s="5">
        <f t="shared" si="4"/>
        <v>4310.5543473089701</v>
      </c>
      <c r="I9" s="5">
        <f t="shared" si="5"/>
        <v>10480.554347308971</v>
      </c>
      <c r="J9" s="5">
        <f t="shared" si="6"/>
        <v>38666.445652691029</v>
      </c>
      <c r="K9" s="18">
        <f t="shared" si="7"/>
        <v>0.78675088311984509</v>
      </c>
      <c r="L9">
        <f>SUMIFS(Reference_Nights[[#All],[Available_nights]], Reference_Nights[[#All],[Month]], Table2[[#This Row],[Month]], Reference_Nights[[#All],[Apt]], Table2[[#This Row],[Apt]])</f>
        <v>27</v>
      </c>
      <c r="M9" s="18">
        <f>IF(Table2[[#This Row],[Available _Nights]]=0, 0, Table2[[#This Row],[Booked_Nights]]/Table2[[#This Row],[Available _Nights]])</f>
        <v>0.77777777777777779</v>
      </c>
      <c r="N9" s="29">
        <f>IF(Table2[[#This Row],[Booked_Nights]]=0, 0, Table2[[#This Row],[Income]]/Table2[[#This Row],[Booked_Nights]])</f>
        <v>2340.3333333333335</v>
      </c>
      <c r="O9" s="29">
        <f>IF(L9=0,0, Table2[[#This Row],[Income]]/Table2[[#This Row],[Available _Nights]])</f>
        <v>1820.2592592592594</v>
      </c>
      <c r="P9" s="30">
        <f>IF(Table2[[#This Row],[Income]]=0,0,Table2[[#This Row],[Total_Exp]]/Table2[[#This Row],[Income]])</f>
        <v>0.21324911688015485</v>
      </c>
    </row>
    <row r="10" spans="1:16" x14ac:dyDescent="0.2">
      <c r="A10" s="13" t="s">
        <v>1092</v>
      </c>
      <c r="B10" t="s">
        <v>295</v>
      </c>
      <c r="C10" s="5">
        <f>SUMIFS(Table1[FULL AMOUNT mxn pesos], Table1[Month], A10, Table1[APARTMENT], B10)</f>
        <v>71984.2</v>
      </c>
      <c r="D10">
        <f>SUMIFS(INCOME!C:C, INCOME!D:D, Table2[[#This Row],[Apt]], INCOME!J:J, Table2[[#This Row],[Month]])</f>
        <v>35</v>
      </c>
      <c r="E10" s="5">
        <f>SUMIFS(EXPENSES!$D:$D, EXPENSES!$C:$C, B10, EXPENSES!$F:$F, A10, EXPENSES!$E:$E, "Direct")</f>
        <v>6916</v>
      </c>
      <c r="F10" s="18">
        <f t="shared" si="0"/>
        <v>0.55374676525522559</v>
      </c>
      <c r="G10" s="5">
        <f>SUMIFS(EXPENSES!D:D, EXPENSES!F:F, Data_Consolidado!A10, EXPENSES!E:E, "Shared")</f>
        <v>8041</v>
      </c>
      <c r="H10" s="5">
        <f t="shared" si="4"/>
        <v>4452.6777394172686</v>
      </c>
      <c r="I10" s="5">
        <f t="shared" si="5"/>
        <v>11368.677739417268</v>
      </c>
      <c r="J10" s="5">
        <f t="shared" si="6"/>
        <v>60615.522260582729</v>
      </c>
      <c r="K10" s="18">
        <f t="shared" si="7"/>
        <v>0.84206704055310377</v>
      </c>
      <c r="L10">
        <f>SUMIFS(Reference_Nights[[#All],[Available_nights]], Reference_Nights[[#All],[Month]], Table2[[#This Row],[Month]], Reference_Nights[[#All],[Apt]], Table2[[#This Row],[Apt]])</f>
        <v>28</v>
      </c>
      <c r="M10" s="18">
        <f>IF(Table2[[#This Row],[Available _Nights]]=0, 0, Table2[[#This Row],[Booked_Nights]]/Table2[[#This Row],[Available _Nights]])</f>
        <v>1.25</v>
      </c>
      <c r="N10" s="29">
        <f>IF(Table2[[#This Row],[Booked_Nights]]=0, 0, Table2[[#This Row],[Income]]/Table2[[#This Row],[Booked_Nights]])</f>
        <v>2056.6914285714283</v>
      </c>
      <c r="O10" s="29">
        <f>IF(L10=0,0, Table2[[#This Row],[Income]]/Table2[[#This Row],[Available _Nights]])</f>
        <v>2570.8642857142854</v>
      </c>
      <c r="P10" s="30">
        <f>IF(Table2[[#This Row],[Income]]=0,0,Table2[[#This Row],[Total_Exp]]/Table2[[#This Row],[Income]])</f>
        <v>0.15793295944689623</v>
      </c>
    </row>
    <row r="11" spans="1:16" x14ac:dyDescent="0.2">
      <c r="A11" s="13" t="s">
        <v>1092</v>
      </c>
      <c r="B11" t="s">
        <v>296</v>
      </c>
      <c r="C11" s="5">
        <f>SUMIFS(Table1[FULL AMOUNT mxn pesos], Table1[Month], A11, Table1[APARTMENT], B11)</f>
        <v>58010.6</v>
      </c>
      <c r="D11">
        <f>SUMIFS(INCOME!C:C, INCOME!D:D, Table2[[#This Row],[Apt]], INCOME!J:J, Table2[[#This Row],[Month]])</f>
        <v>28</v>
      </c>
      <c r="E11" s="5">
        <f>SUMIFS(EXPENSES!$D:$D, EXPENSES!$C:$C, B11, EXPENSES!$F:$F, A11, EXPENSES!$E:$E, "Direct")</f>
        <v>6591</v>
      </c>
      <c r="F11" s="18">
        <f t="shared" si="0"/>
        <v>0.44625323474477441</v>
      </c>
      <c r="G11" s="5">
        <f>SUMIFS(EXPENSES!D:D, EXPENSES!F:F, Data_Consolidado!A11, EXPENSES!E:E, "Shared")</f>
        <v>8041</v>
      </c>
      <c r="H11" s="5">
        <f t="shared" si="4"/>
        <v>3588.3222605827309</v>
      </c>
      <c r="I11" s="5">
        <f t="shared" si="5"/>
        <v>10179.32226058273</v>
      </c>
      <c r="J11" s="5">
        <f t="shared" si="6"/>
        <v>47831.277739417266</v>
      </c>
      <c r="K11" s="18">
        <f t="shared" si="7"/>
        <v>0.82452651307549429</v>
      </c>
      <c r="L11">
        <f>SUMIFS(Reference_Nights[[#All],[Available_nights]], Reference_Nights[[#All],[Month]], Table2[[#This Row],[Month]], Reference_Nights[[#All],[Apt]], Table2[[#This Row],[Apt]])</f>
        <v>28</v>
      </c>
      <c r="M11" s="18">
        <f>IF(Table2[[#This Row],[Available _Nights]]=0, 0, Table2[[#This Row],[Booked_Nights]]/Table2[[#This Row],[Available _Nights]])</f>
        <v>1</v>
      </c>
      <c r="N11" s="29">
        <f>IF(Table2[[#This Row],[Booked_Nights]]=0, 0, Table2[[#This Row],[Income]]/Table2[[#This Row],[Booked_Nights]])</f>
        <v>2071.8071428571429</v>
      </c>
      <c r="O11" s="29">
        <f>IF(L11=0,0, Table2[[#This Row],[Income]]/Table2[[#This Row],[Available _Nights]])</f>
        <v>2071.8071428571429</v>
      </c>
      <c r="P11" s="30">
        <f>IF(Table2[[#This Row],[Income]]=0,0,Table2[[#This Row],[Total_Exp]]/Table2[[#This Row],[Income]])</f>
        <v>0.17547348692450571</v>
      </c>
    </row>
    <row r="12" spans="1:16" x14ac:dyDescent="0.2">
      <c r="A12" s="13" t="s">
        <v>1093</v>
      </c>
      <c r="B12" t="s">
        <v>295</v>
      </c>
      <c r="C12" s="5">
        <f>SUMIFS(Table1[FULL AMOUNT mxn pesos], Table1[Month], A12, Table1[APARTMENT], B12)</f>
        <v>9130.4000000000015</v>
      </c>
      <c r="D12">
        <f>SUMIFS(INCOME!C:C, INCOME!D:D, Table2[[#This Row],[Apt]], INCOME!J:J, Table2[[#This Row],[Month]])</f>
        <v>6</v>
      </c>
      <c r="E12" s="5">
        <f>SUMIFS(EXPENSES!$D:$D, EXPENSES!$C:$C, B12, EXPENSES!$F:$F, A12, EXPENSES!$E:$E, "Direct")</f>
        <v>4015</v>
      </c>
      <c r="F12" s="18">
        <f t="shared" si="0"/>
        <v>0.25344340382063768</v>
      </c>
      <c r="G12" s="5">
        <f>SUMIFS(EXPENSES!D:D, EXPENSES!F:F, Data_Consolidado!A12, EXPENSES!E:E, "Shared")</f>
        <v>7602</v>
      </c>
      <c r="H12" s="5">
        <f t="shared" si="4"/>
        <v>1926.6767558444876</v>
      </c>
      <c r="I12" s="5">
        <f t="shared" si="5"/>
        <v>5941.6767558444881</v>
      </c>
      <c r="J12" s="5">
        <f t="shared" si="6"/>
        <v>3188.7232441555134</v>
      </c>
      <c r="K12" s="18">
        <f t="shared" si="7"/>
        <v>0.34924244766445206</v>
      </c>
      <c r="L12">
        <f>SUMIFS(Reference_Nights[[#All],[Available_nights]], Reference_Nights[[#All],[Month]], Table2[[#This Row],[Month]], Reference_Nights[[#All],[Apt]], Table2[[#This Row],[Apt]])</f>
        <v>27</v>
      </c>
      <c r="M12" s="18">
        <f>IF(Table2[[#This Row],[Available _Nights]]=0, 0, Table2[[#This Row],[Booked_Nights]]/Table2[[#This Row],[Available _Nights]])</f>
        <v>0.22222222222222221</v>
      </c>
      <c r="N12" s="29">
        <f>IF(Table2[[#This Row],[Booked_Nights]]=0, 0, Table2[[#This Row],[Income]]/Table2[[#This Row],[Booked_Nights]])</f>
        <v>1521.7333333333336</v>
      </c>
      <c r="O12" s="29">
        <f>IF(L12=0,0, Table2[[#This Row],[Income]]/Table2[[#This Row],[Available _Nights]])</f>
        <v>338.16296296296304</v>
      </c>
      <c r="P12" s="30">
        <f>IF(Table2[[#This Row],[Income]]=0,0,Table2[[#This Row],[Total_Exp]]/Table2[[#This Row],[Income]])</f>
        <v>0.650757552335548</v>
      </c>
    </row>
    <row r="13" spans="1:16" x14ac:dyDescent="0.2">
      <c r="A13" s="13" t="s">
        <v>1093</v>
      </c>
      <c r="B13" t="s">
        <v>296</v>
      </c>
      <c r="C13" s="5">
        <f>SUMIFS(Table1[FULL AMOUNT mxn pesos], Table1[Month], A13, Table1[APARTMENT], B13)</f>
        <v>26895</v>
      </c>
      <c r="D13">
        <f>SUMIFS(INCOME!C:C, INCOME!D:D, Table2[[#This Row],[Apt]], INCOME!J:J, Table2[[#This Row],[Month]])</f>
        <v>15</v>
      </c>
      <c r="E13" s="5">
        <f>SUMIFS(EXPENSES!$D:$D, EXPENSES!$C:$C, B13, EXPENSES!$F:$F, A13, EXPENSES!$E:$E, "Direct")</f>
        <v>8211</v>
      </c>
      <c r="F13" s="18">
        <f t="shared" si="0"/>
        <v>0.74655659617936232</v>
      </c>
      <c r="G13" s="5">
        <f>SUMIFS(EXPENSES!D:D, EXPENSES!F:F, Data_Consolidado!A13, EXPENSES!E:E, "Shared")</f>
        <v>7602</v>
      </c>
      <c r="H13" s="5">
        <f t="shared" si="4"/>
        <v>5675.3232441555119</v>
      </c>
      <c r="I13" s="5">
        <f t="shared" si="5"/>
        <v>13886.323244155512</v>
      </c>
      <c r="J13" s="5">
        <f t="shared" si="6"/>
        <v>13008.676755844488</v>
      </c>
      <c r="K13" s="18">
        <f t="shared" si="7"/>
        <v>0.48368383550267663</v>
      </c>
      <c r="L13">
        <f>SUMIFS(Reference_Nights[[#All],[Available_nights]], Reference_Nights[[#All],[Month]], Table2[[#This Row],[Month]], Reference_Nights[[#All],[Apt]], Table2[[#This Row],[Apt]])</f>
        <v>27</v>
      </c>
      <c r="M13" s="18">
        <f>IF(Table2[[#This Row],[Available _Nights]]=0, 0, Table2[[#This Row],[Booked_Nights]]/Table2[[#This Row],[Available _Nights]])</f>
        <v>0.55555555555555558</v>
      </c>
      <c r="N13" s="29">
        <f>IF(Table2[[#This Row],[Booked_Nights]]=0, 0, Table2[[#This Row],[Income]]/Table2[[#This Row],[Booked_Nights]])</f>
        <v>1793</v>
      </c>
      <c r="O13" s="29">
        <f>IF(L13=0,0, Table2[[#This Row],[Income]]/Table2[[#This Row],[Available _Nights]])</f>
        <v>996.11111111111109</v>
      </c>
      <c r="P13" s="30">
        <f>IF(Table2[[#This Row],[Income]]=0,0,Table2[[#This Row],[Total_Exp]]/Table2[[#This Row],[Income]])</f>
        <v>0.51631616449732332</v>
      </c>
    </row>
    <row r="14" spans="1:16" x14ac:dyDescent="0.2">
      <c r="A14" s="13" t="s">
        <v>1093</v>
      </c>
      <c r="B14" t="s">
        <v>297</v>
      </c>
      <c r="C14" s="5">
        <f>SUMIFS(Table1[FULL AMOUNT mxn pesos], Table1[Month], A14, Table1[APARTMENT], B14)</f>
        <v>0</v>
      </c>
      <c r="D14">
        <f>SUMIFS(INCOME!C:C, INCOME!D:D, Table2[[#This Row],[Apt]], INCOME!J:J, Table2[[#This Row],[Month]])</f>
        <v>0</v>
      </c>
      <c r="E14" s="5">
        <f>SUMIFS(EXPENSES!$D:$D, EXPENSES!$C:$C, B14, EXPENSES!$F:$F, A14, EXPENSES!$E:$E, "Direct")</f>
        <v>2600</v>
      </c>
      <c r="F14" s="18">
        <f t="shared" si="0"/>
        <v>0</v>
      </c>
      <c r="G14" s="5">
        <f>SUMIFS(EXPENSES!D:D, EXPENSES!F:F, Data_Consolidado!A14, EXPENSES!E:E, "Shared")</f>
        <v>7602</v>
      </c>
      <c r="H14" s="5">
        <f>G14*F14</f>
        <v>0</v>
      </c>
      <c r="I14" s="5">
        <f>E14+H14</f>
        <v>2600</v>
      </c>
      <c r="J14" s="5">
        <f>C14-I14</f>
        <v>-2600</v>
      </c>
      <c r="K14" s="18" t="str">
        <f>IF(C14=0, "-", (J14/C14))</f>
        <v>-</v>
      </c>
      <c r="L14">
        <f>SUMIFS(Reference_Nights[[#All],[Available_nights]], Reference_Nights[[#All],[Month]], Table2[[#This Row],[Month]], Reference_Nights[[#All],[Apt]], Table2[[#This Row],[Apt]])</f>
        <v>27</v>
      </c>
      <c r="M14" s="18">
        <f>IF(Table2[[#This Row],[Available _Nights]]=0, 0, Table2[[#This Row],[Booked_Nights]]/Table2[[#This Row],[Available _Nights]])</f>
        <v>0</v>
      </c>
      <c r="N14" s="29">
        <f>IF(Table2[[#This Row],[Booked_Nights]]=0, 0, Table2[[#This Row],[Income]]/Table2[[#This Row],[Booked_Nights]])</f>
        <v>0</v>
      </c>
      <c r="O14" s="29">
        <f>IF(L14=0,0, Table2[[#This Row],[Income]]/Table2[[#This Row],[Available _Nights]])</f>
        <v>0</v>
      </c>
      <c r="P14" s="30">
        <f>IF(Table2[[#This Row],[Income]]=0,0,Table2[[#This Row],[Total_Exp]]/Table2[[#This Row],[Income]])</f>
        <v>0</v>
      </c>
    </row>
    <row r="15" spans="1:16" x14ac:dyDescent="0.2">
      <c r="A15" s="13" t="s">
        <v>1094</v>
      </c>
      <c r="B15" t="s">
        <v>295</v>
      </c>
      <c r="C15" s="5">
        <f>SUMIFS(Table1[FULL AMOUNT mxn pesos], Table1[Month], A15, Table1[APARTMENT], B15)</f>
        <v>43007.8</v>
      </c>
      <c r="D15">
        <f>SUMIFS(INCOME!C:C, INCOME!D:D, Table2[[#This Row],[Apt]], INCOME!J:J, Table2[[#This Row],[Month]])</f>
        <v>13</v>
      </c>
      <c r="E15" s="5">
        <f>SUMIFS(EXPENSES!$D:$D, EXPENSES!$C:$C, B15, EXPENSES!$F:$F, A15, EXPENSES!$E:$E, "Direct")</f>
        <v>13166</v>
      </c>
      <c r="F15" s="18">
        <f t="shared" si="0"/>
        <v>0.4866005462514793</v>
      </c>
      <c r="G15" s="5">
        <f>SUMIFS(EXPENSES!D:D, EXPENSES!F:F, Data_Consolidado!A15, EXPENSES!E:E, "Shared")</f>
        <v>10489</v>
      </c>
      <c r="H15" s="5">
        <f t="shared" si="4"/>
        <v>5103.9531296317664</v>
      </c>
      <c r="I15" s="5">
        <f t="shared" si="5"/>
        <v>18269.953129631765</v>
      </c>
      <c r="J15" s="5">
        <f t="shared" si="6"/>
        <v>24737.846870368237</v>
      </c>
      <c r="K15" s="18">
        <f t="shared" si="7"/>
        <v>0.57519442683346356</v>
      </c>
      <c r="L15">
        <f>SUMIFS(Reference_Nights[[#All],[Available_nights]], Reference_Nights[[#All],[Month]], Table2[[#This Row],[Month]], Reference_Nights[[#All],[Apt]], Table2[[#This Row],[Apt]])</f>
        <v>28</v>
      </c>
      <c r="M15" s="18">
        <f>IF(Table2[[#This Row],[Available _Nights]]=0, 0, Table2[[#This Row],[Booked_Nights]]/Table2[[#This Row],[Available _Nights]])</f>
        <v>0.4642857142857143</v>
      </c>
      <c r="N15" s="29">
        <f>IF(Table2[[#This Row],[Booked_Nights]]=0, 0, Table2[[#This Row],[Income]]/Table2[[#This Row],[Booked_Nights]])</f>
        <v>3308.292307692308</v>
      </c>
      <c r="O15" s="29">
        <f>IF(L15=0,0, Table2[[#This Row],[Income]]/Table2[[#This Row],[Available _Nights]])</f>
        <v>1535.9928571428572</v>
      </c>
      <c r="P15" s="30">
        <f>IF(Table2[[#This Row],[Income]]=0,0,Table2[[#This Row],[Total_Exp]]/Table2[[#This Row],[Income]])</f>
        <v>0.42480557316653639</v>
      </c>
    </row>
    <row r="16" spans="1:16" x14ac:dyDescent="0.2">
      <c r="A16" s="13" t="s">
        <v>1094</v>
      </c>
      <c r="B16" t="s">
        <v>296</v>
      </c>
      <c r="C16" s="5">
        <f>SUMIFS(Table1[FULL AMOUNT mxn pesos], Table1[Month], A16, Table1[APARTMENT], B16)</f>
        <v>45376.4</v>
      </c>
      <c r="D16">
        <f>SUMIFS(INCOME!C:C, INCOME!D:D, Table2[[#This Row],[Apt]], INCOME!J:J, Table2[[#This Row],[Month]])</f>
        <v>22</v>
      </c>
      <c r="E16" s="5">
        <f>SUMIFS(EXPENSES!$D:$D, EXPENSES!$C:$C, B16, EXPENSES!$F:$F, A16, EXPENSES!$E:$E, "Direct")</f>
        <v>14801</v>
      </c>
      <c r="F16" s="18">
        <f t="shared" si="0"/>
        <v>0.51339945374852058</v>
      </c>
      <c r="G16" s="5">
        <f>SUMIFS(EXPENSES!D:D, EXPENSES!F:F, Data_Consolidado!A16, EXPENSES!E:E, "Shared")</f>
        <v>10489</v>
      </c>
      <c r="H16" s="5">
        <f t="shared" si="4"/>
        <v>5385.0468703682327</v>
      </c>
      <c r="I16" s="5">
        <f t="shared" si="5"/>
        <v>20186.046870368235</v>
      </c>
      <c r="J16" s="5">
        <f t="shared" si="6"/>
        <v>25190.353129631767</v>
      </c>
      <c r="K16" s="18">
        <f t="shared" si="7"/>
        <v>0.5551421692693066</v>
      </c>
      <c r="L16">
        <f>SUMIFS(Reference_Nights[[#All],[Available_nights]], Reference_Nights[[#All],[Month]], Table2[[#This Row],[Month]], Reference_Nights[[#All],[Apt]], Table2[[#This Row],[Apt]])</f>
        <v>28</v>
      </c>
      <c r="M16" s="18">
        <f>IF(Table2[[#This Row],[Available _Nights]]=0, 0, Table2[[#This Row],[Booked_Nights]]/Table2[[#This Row],[Available _Nights]])</f>
        <v>0.7857142857142857</v>
      </c>
      <c r="N16" s="29">
        <f>IF(Table2[[#This Row],[Booked_Nights]]=0, 0, Table2[[#This Row],[Income]]/Table2[[#This Row],[Booked_Nights]])</f>
        <v>2062.5636363636363</v>
      </c>
      <c r="O16" s="29">
        <f>IF(L16=0,0, Table2[[#This Row],[Income]]/Table2[[#This Row],[Available _Nights]])</f>
        <v>1620.5857142857144</v>
      </c>
      <c r="P16" s="30">
        <f>IF(Table2[[#This Row],[Income]]=0,0,Table2[[#This Row],[Total_Exp]]/Table2[[#This Row],[Income]])</f>
        <v>0.44485783073069335</v>
      </c>
    </row>
    <row r="17" spans="1:16" x14ac:dyDescent="0.2">
      <c r="A17" s="13" t="s">
        <v>1094</v>
      </c>
      <c r="B17" t="s">
        <v>297</v>
      </c>
      <c r="C17" s="5">
        <f>SUMIFS(Table1[FULL AMOUNT mxn pesos], Table1[Month], A17, Table1[APARTMENT], B17)</f>
        <v>0</v>
      </c>
      <c r="D17">
        <f>SUMIFS(INCOME!C:C, INCOME!D:D, Table2[[#This Row],[Apt]], INCOME!J:J, Table2[[#This Row],[Month]])</f>
        <v>0</v>
      </c>
      <c r="E17" s="5">
        <f>SUMIFS(EXPENSES!$D:$D, EXPENSES!$C:$C, B17, EXPENSES!$F:$F, A17, EXPENSES!$E:$E, "Direct")</f>
        <v>10533</v>
      </c>
      <c r="F17" s="18">
        <f t="shared" si="0"/>
        <v>0</v>
      </c>
      <c r="G17" s="5">
        <f>SUMIFS(EXPENSES!D:D, EXPENSES!F:F, Data_Consolidado!A17, EXPENSES!E:E, "Shared")</f>
        <v>10489</v>
      </c>
      <c r="H17" s="5">
        <f>G17*F17</f>
        <v>0</v>
      </c>
      <c r="I17" s="5">
        <f>E17+H17</f>
        <v>10533</v>
      </c>
      <c r="J17" s="5">
        <f>C17-I17</f>
        <v>-10533</v>
      </c>
      <c r="K17" s="18" t="str">
        <f>IF(C17=0, "-", (J17/C17))</f>
        <v>-</v>
      </c>
      <c r="L17">
        <f>SUMIFS(Reference_Nights[[#All],[Available_nights]], Reference_Nights[[#All],[Month]], Table2[[#This Row],[Month]], Reference_Nights[[#All],[Apt]], Table2[[#This Row],[Apt]])</f>
        <v>28</v>
      </c>
      <c r="M17" s="18">
        <f>IF(Table2[[#This Row],[Available _Nights]]=0, 0, Table2[[#This Row],[Booked_Nights]]/Table2[[#This Row],[Available _Nights]])</f>
        <v>0</v>
      </c>
      <c r="N17" s="29">
        <f>IF(Table2[[#This Row],[Booked_Nights]]=0, 0, Table2[[#This Row],[Income]]/Table2[[#This Row],[Booked_Nights]])</f>
        <v>0</v>
      </c>
      <c r="O17" s="29">
        <f>IF(L17=0,0, Table2[[#This Row],[Income]]/Table2[[#This Row],[Available _Nights]])</f>
        <v>0</v>
      </c>
      <c r="P17" s="30">
        <f>IF(Table2[[#This Row],[Income]]=0,0,Table2[[#This Row],[Total_Exp]]/Table2[[#This Row],[Income]])</f>
        <v>0</v>
      </c>
    </row>
    <row r="18" spans="1:16" x14ac:dyDescent="0.2">
      <c r="A18" s="13" t="s">
        <v>1095</v>
      </c>
      <c r="B18" t="s">
        <v>295</v>
      </c>
      <c r="C18" s="5">
        <f>SUMIFS(Table1[FULL AMOUNT mxn pesos], Table1[Month], A18, Table1[APARTMENT], B18)</f>
        <v>32774.400000000001</v>
      </c>
      <c r="D18">
        <f>SUMIFS(INCOME!C:C, INCOME!D:D, Table2[[#This Row],[Apt]], INCOME!J:J, Table2[[#This Row],[Month]])</f>
        <v>13</v>
      </c>
      <c r="E18" s="5">
        <f>SUMIFS(EXPENSES!$D:$D, EXPENSES!$C:$C, B18, EXPENSES!$F:$F, A18, EXPENSES!$E:$E, "Direct")</f>
        <v>12478</v>
      </c>
      <c r="F18" s="18">
        <f t="shared" si="0"/>
        <v>0.56846903413131489</v>
      </c>
      <c r="G18" s="5">
        <f>SUMIFS(EXPENSES!D:D, EXPENSES!F:F, Data_Consolidado!A18, EXPENSES!E:E, "Shared")</f>
        <v>14507</v>
      </c>
      <c r="H18" s="5">
        <f t="shared" si="4"/>
        <v>8246.7802781429855</v>
      </c>
      <c r="I18" s="5">
        <f t="shared" si="5"/>
        <v>20724.780278142985</v>
      </c>
      <c r="J18" s="5">
        <f t="shared" si="6"/>
        <v>12049.619721857016</v>
      </c>
      <c r="K18" s="18">
        <f t="shared" si="7"/>
        <v>0.36765340393285662</v>
      </c>
      <c r="L18">
        <f>SUMIFS(Reference_Nights[[#All],[Available_nights]], Reference_Nights[[#All],[Month]], Table2[[#This Row],[Month]], Reference_Nights[[#All],[Apt]], Table2[[#This Row],[Apt]])</f>
        <v>28</v>
      </c>
      <c r="M18" s="18">
        <f>IF(Table2[[#This Row],[Available _Nights]]=0, 0, Table2[[#This Row],[Booked_Nights]]/Table2[[#This Row],[Available _Nights]])</f>
        <v>0.4642857142857143</v>
      </c>
      <c r="N18" s="29">
        <f>IF(Table2[[#This Row],[Booked_Nights]]=0, 0, Table2[[#This Row],[Income]]/Table2[[#This Row],[Booked_Nights]])</f>
        <v>2521.1076923076926</v>
      </c>
      <c r="O18" s="29">
        <f>IF(L18=0,0, Table2[[#This Row],[Income]]/Table2[[#This Row],[Available _Nights]])</f>
        <v>1170.5142857142857</v>
      </c>
      <c r="P18" s="30">
        <f>IF(Table2[[#This Row],[Income]]=0,0,Table2[[#This Row],[Total_Exp]]/Table2[[#This Row],[Income]])</f>
        <v>0.63234659606714338</v>
      </c>
    </row>
    <row r="19" spans="1:16" x14ac:dyDescent="0.2">
      <c r="A19" s="13" t="s">
        <v>1095</v>
      </c>
      <c r="B19" t="s">
        <v>296</v>
      </c>
      <c r="C19" s="5">
        <f>SUMIFS(Table1[FULL AMOUNT mxn pesos], Table1[Month], A19, Table1[APARTMENT], B19)</f>
        <v>5390.2</v>
      </c>
      <c r="D19">
        <f>SUMIFS(INCOME!C:C, INCOME!D:D, Table2[[#This Row],[Apt]], INCOME!J:J, Table2[[#This Row],[Month]])</f>
        <v>5</v>
      </c>
      <c r="E19" s="5">
        <f>SUMIFS(EXPENSES!$D:$D, EXPENSES!$C:$C, B19, EXPENSES!$F:$F, A19, EXPENSES!$E:$E, "Direct")</f>
        <v>14133</v>
      </c>
      <c r="F19" s="18">
        <f t="shared" si="0"/>
        <v>9.3492536485019206E-2</v>
      </c>
      <c r="G19" s="5">
        <f>SUMIFS(EXPENSES!D:D, EXPENSES!F:F, Data_Consolidado!A19, EXPENSES!E:E, "Shared")</f>
        <v>14507</v>
      </c>
      <c r="H19" s="5">
        <f t="shared" si="4"/>
        <v>1356.2962267881737</v>
      </c>
      <c r="I19" s="5">
        <f t="shared" si="5"/>
        <v>15489.296226788174</v>
      </c>
      <c r="J19" s="5">
        <f t="shared" si="6"/>
        <v>-10099.096226788173</v>
      </c>
      <c r="K19" s="18">
        <f t="shared" si="7"/>
        <v>-1.8736032478921327</v>
      </c>
      <c r="L19">
        <f>SUMIFS(Reference_Nights[[#All],[Available_nights]], Reference_Nights[[#All],[Month]], Table2[[#This Row],[Month]], Reference_Nights[[#All],[Apt]], Table2[[#This Row],[Apt]])</f>
        <v>28</v>
      </c>
      <c r="M19" s="18">
        <f>IF(Table2[[#This Row],[Available _Nights]]=0, 0, Table2[[#This Row],[Booked_Nights]]/Table2[[#This Row],[Available _Nights]])</f>
        <v>0.17857142857142858</v>
      </c>
      <c r="N19" s="29">
        <f>IF(Table2[[#This Row],[Booked_Nights]]=0, 0, Table2[[#This Row],[Income]]/Table2[[#This Row],[Booked_Nights]])</f>
        <v>1078.04</v>
      </c>
      <c r="O19" s="29">
        <f>IF(L19=0,0, Table2[[#This Row],[Income]]/Table2[[#This Row],[Available _Nights]])</f>
        <v>192.50714285714284</v>
      </c>
      <c r="P19" s="30">
        <f>IF(Table2[[#This Row],[Income]]=0,0,Table2[[#This Row],[Total_Exp]]/Table2[[#This Row],[Income]])</f>
        <v>2.8736032478921327</v>
      </c>
    </row>
    <row r="20" spans="1:16" x14ac:dyDescent="0.2">
      <c r="A20" s="13" t="s">
        <v>1095</v>
      </c>
      <c r="B20" t="s">
        <v>297</v>
      </c>
      <c r="C20" s="5">
        <f>SUMIFS(Table1[FULL AMOUNT mxn pesos], Table1[Month], A20, Table1[APARTMENT], B20)</f>
        <v>19489.199999999997</v>
      </c>
      <c r="D20">
        <f>SUMIFS(INCOME!C:C, INCOME!D:D, Table2[[#This Row],[Apt]], INCOME!J:J, Table2[[#This Row],[Month]])</f>
        <v>17</v>
      </c>
      <c r="E20" s="5">
        <f>SUMIFS(EXPENSES!$D:$D, EXPENSES!$C:$C, B20, EXPENSES!$F:$F, A20, EXPENSES!$E:$E, "Direct")</f>
        <v>49302</v>
      </c>
      <c r="F20" s="18">
        <f t="shared" si="0"/>
        <v>0.33803842938366591</v>
      </c>
      <c r="G20" s="5">
        <f>SUMIFS(EXPENSES!D:D, EXPENSES!F:F, Data_Consolidado!A20, EXPENSES!E:E, "Shared")</f>
        <v>14507</v>
      </c>
      <c r="H20" s="5">
        <f>G20*F20</f>
        <v>4903.9234950688415</v>
      </c>
      <c r="I20" s="5">
        <f>E20+H20</f>
        <v>54205.923495068841</v>
      </c>
      <c r="J20" s="5">
        <f>C20-I20</f>
        <v>-34716.723495068843</v>
      </c>
      <c r="K20" s="18">
        <f>IF(C20=0, "-", (J20/C20))</f>
        <v>-1.7813313781514299</v>
      </c>
      <c r="L20">
        <f>SUMIFS(Reference_Nights[[#All],[Available_nights]], Reference_Nights[[#All],[Month]], Table2[[#This Row],[Month]], Reference_Nights[[#All],[Apt]], Table2[[#This Row],[Apt]])</f>
        <v>28</v>
      </c>
      <c r="M20" s="18">
        <f>IF(Table2[[#This Row],[Available _Nights]]=0, 0, Table2[[#This Row],[Booked_Nights]]/Table2[[#This Row],[Available _Nights]])</f>
        <v>0.6071428571428571</v>
      </c>
      <c r="N20" s="29">
        <f>IF(Table2[[#This Row],[Booked_Nights]]=0, 0, Table2[[#This Row],[Income]]/Table2[[#This Row],[Booked_Nights]])</f>
        <v>1146.4235294117645</v>
      </c>
      <c r="O20" s="29">
        <f>IF(L20=0,0, Table2[[#This Row],[Income]]/Table2[[#This Row],[Available _Nights]])</f>
        <v>696.04285714285709</v>
      </c>
      <c r="P20" s="30">
        <f>IF(Table2[[#This Row],[Income]]=0,0,Table2[[#This Row],[Total_Exp]]/Table2[[#This Row],[Income]])</f>
        <v>2.7813313781514299</v>
      </c>
    </row>
    <row r="21" spans="1:16" x14ac:dyDescent="0.2">
      <c r="A21" s="13" t="s">
        <v>1096</v>
      </c>
      <c r="B21" t="s">
        <v>295</v>
      </c>
      <c r="C21" s="5">
        <f>SUMIFS(Table1[FULL AMOUNT mxn pesos], Table1[Month], A21, Table1[APARTMENT], B21)</f>
        <v>0</v>
      </c>
      <c r="D21">
        <f>SUMIFS(INCOME!C:C, INCOME!D:D, Table2[[#This Row],[Apt]], INCOME!J:J, Table2[[#This Row],[Month]])</f>
        <v>0</v>
      </c>
      <c r="E21" s="5">
        <f>SUMIFS(EXPENSES!$D:$D, EXPENSES!$C:$C, B21, EXPENSES!$F:$F, A21, EXPENSES!$E:$E, "Direct")</f>
        <v>3550</v>
      </c>
      <c r="F21" s="18">
        <f t="shared" si="0"/>
        <v>0</v>
      </c>
      <c r="G21" s="5">
        <f>SUMIFS(EXPENSES!D:D, EXPENSES!F:F, Data_Consolidado!A21, EXPENSES!E:E, "Shared")</f>
        <v>7560.2</v>
      </c>
      <c r="H21" s="5">
        <f>Table2[[#This Row],[Shared_Total]]/3</f>
        <v>2520.0666666666666</v>
      </c>
      <c r="I21" s="5">
        <f t="shared" si="5"/>
        <v>6070.0666666666666</v>
      </c>
      <c r="J21" s="5">
        <f t="shared" si="6"/>
        <v>-6070.0666666666666</v>
      </c>
      <c r="K21" s="18" t="str">
        <f t="shared" si="7"/>
        <v>-</v>
      </c>
      <c r="L21">
        <f>SUMIFS(Reference_Nights[[#All],[Available_nights]], Reference_Nights[[#All],[Month]], Table2[[#This Row],[Month]], Reference_Nights[[#All],[Apt]], Table2[[#This Row],[Apt]])</f>
        <v>27</v>
      </c>
      <c r="M21" s="18">
        <f>IF(Table2[[#This Row],[Available _Nights]]=0, 0, Table2[[#This Row],[Booked_Nights]]/Table2[[#This Row],[Available _Nights]])</f>
        <v>0</v>
      </c>
      <c r="N21" s="29">
        <f>IF(Table2[[#This Row],[Booked_Nights]]=0, 0, Table2[[#This Row],[Income]]/Table2[[#This Row],[Booked_Nights]])</f>
        <v>0</v>
      </c>
      <c r="O21" s="29">
        <f>IF(L21=0,0, Table2[[#This Row],[Income]]/Table2[[#This Row],[Available _Nights]])</f>
        <v>0</v>
      </c>
      <c r="P21" s="30">
        <f>IF(Table2[[#This Row],[Income]]=0,0,Table2[[#This Row],[Total_Exp]]/Table2[[#This Row],[Income]])</f>
        <v>0</v>
      </c>
    </row>
    <row r="22" spans="1:16" x14ac:dyDescent="0.2">
      <c r="A22" s="13" t="s">
        <v>1096</v>
      </c>
      <c r="B22" t="s">
        <v>296</v>
      </c>
      <c r="C22" s="5">
        <f>SUMIFS(Table1[FULL AMOUNT mxn pesos], Table1[Month], A22, Table1[APARTMENT], B22)</f>
        <v>0</v>
      </c>
      <c r="D22">
        <f>SUMIFS(INCOME!C:C, INCOME!D:D, Table2[[#This Row],[Apt]], INCOME!J:J, Table2[[#This Row],[Month]])</f>
        <v>0</v>
      </c>
      <c r="E22" s="5">
        <f>SUMIFS(EXPENSES!$D:$D, EXPENSES!$C:$C, B22, EXPENSES!$F:$F, A22, EXPENSES!$E:$E, "Direct")</f>
        <v>0</v>
      </c>
      <c r="F22" s="18">
        <f t="shared" si="0"/>
        <v>0</v>
      </c>
      <c r="G22" s="5">
        <f>SUMIFS(EXPENSES!D:D, EXPENSES!F:F, Data_Consolidado!A22, EXPENSES!E:E, "Shared")</f>
        <v>7560.2</v>
      </c>
      <c r="H22" s="5">
        <f>Table2[[#This Row],[Shared_Total]]/3</f>
        <v>2520.0666666666666</v>
      </c>
      <c r="I22" s="5">
        <f t="shared" si="5"/>
        <v>2520.0666666666666</v>
      </c>
      <c r="J22" s="5">
        <f t="shared" si="6"/>
        <v>-2520.0666666666666</v>
      </c>
      <c r="K22" s="18" t="str">
        <f t="shared" si="7"/>
        <v>-</v>
      </c>
      <c r="L22">
        <f>SUMIFS(Reference_Nights[[#All],[Available_nights]], Reference_Nights[[#All],[Month]], Table2[[#This Row],[Month]], Reference_Nights[[#All],[Apt]], Table2[[#This Row],[Apt]])</f>
        <v>27</v>
      </c>
      <c r="M22" s="18">
        <f>IF(Table2[[#This Row],[Available _Nights]]=0, 0, Table2[[#This Row],[Booked_Nights]]/Table2[[#This Row],[Available _Nights]])</f>
        <v>0</v>
      </c>
      <c r="N22" s="29">
        <f>IF(Table2[[#This Row],[Booked_Nights]]=0, 0, Table2[[#This Row],[Income]]/Table2[[#This Row],[Booked_Nights]])</f>
        <v>0</v>
      </c>
      <c r="O22" s="29">
        <f>IF(L22=0,0, Table2[[#This Row],[Income]]/Table2[[#This Row],[Available _Nights]])</f>
        <v>0</v>
      </c>
      <c r="P22" s="30">
        <f>IF(Table2[[#This Row],[Income]]=0,0,Table2[[#This Row],[Total_Exp]]/Table2[[#This Row],[Income]])</f>
        <v>0</v>
      </c>
    </row>
    <row r="23" spans="1:16" x14ac:dyDescent="0.2">
      <c r="A23" s="13" t="s">
        <v>1096</v>
      </c>
      <c r="B23" t="s">
        <v>297</v>
      </c>
      <c r="C23" s="5">
        <f>SUMIFS(Table1[FULL AMOUNT mxn pesos], Table1[Month], A23, Table1[APARTMENT], B23)</f>
        <v>0</v>
      </c>
      <c r="D23">
        <f>SUMIFS(INCOME!C:C, INCOME!D:D, Table2[[#This Row],[Apt]], INCOME!J:J, Table2[[#This Row],[Month]])</f>
        <v>0</v>
      </c>
      <c r="E23" s="5">
        <f>SUMIFS(EXPENSES!$D:$D, EXPENSES!$C:$C, B23, EXPENSES!$F:$F, A23, EXPENSES!$E:$E, "Direct")</f>
        <v>1900</v>
      </c>
      <c r="F23" s="18">
        <f t="shared" si="0"/>
        <v>0</v>
      </c>
      <c r="G23" s="5">
        <f>SUMIFS(EXPENSES!D:D, EXPENSES!F:F, Data_Consolidado!A23, EXPENSES!E:E, "Shared")</f>
        <v>7560.2</v>
      </c>
      <c r="H23" s="5">
        <f>Table2[[#This Row],[Shared_Total]]/3</f>
        <v>2520.0666666666666</v>
      </c>
      <c r="I23" s="5">
        <f>E23+H23</f>
        <v>4420.0666666666666</v>
      </c>
      <c r="J23" s="5">
        <f>C23-I23</f>
        <v>-4420.0666666666666</v>
      </c>
      <c r="K23" s="18" t="str">
        <f>IF(C23=0, "-", (J23/C23))</f>
        <v>-</v>
      </c>
      <c r="L23">
        <f>SUMIFS(Reference_Nights[[#All],[Available_nights]], Reference_Nights[[#All],[Month]], Table2[[#This Row],[Month]], Reference_Nights[[#All],[Apt]], Table2[[#This Row],[Apt]])</f>
        <v>27</v>
      </c>
      <c r="M23" s="18">
        <f>IF(Table2[[#This Row],[Available _Nights]]=0, 0, Table2[[#This Row],[Booked_Nights]]/Table2[[#This Row],[Available _Nights]])</f>
        <v>0</v>
      </c>
      <c r="N23" s="29">
        <f>IF(Table2[[#This Row],[Booked_Nights]]=0, 0, Table2[[#This Row],[Income]]/Table2[[#This Row],[Booked_Nights]])</f>
        <v>0</v>
      </c>
      <c r="O23" s="29">
        <f>IF(L23=0,0, Table2[[#This Row],[Income]]/Table2[[#This Row],[Available _Nights]])</f>
        <v>0</v>
      </c>
      <c r="P23" s="30">
        <f>IF(Table2[[#This Row],[Income]]=0,0,Table2[[#This Row],[Total_Exp]]/Table2[[#This Row],[Income]])</f>
        <v>0</v>
      </c>
    </row>
    <row r="24" spans="1:16" x14ac:dyDescent="0.2">
      <c r="A24" s="13" t="s">
        <v>1097</v>
      </c>
      <c r="B24" t="s">
        <v>295</v>
      </c>
      <c r="C24" s="5">
        <f>SUMIFS(Table1[FULL AMOUNT mxn pesos], Table1[Month], A24, Table1[APARTMENT], B24)</f>
        <v>18000</v>
      </c>
      <c r="D24">
        <f>SUMIFS(INCOME!C:C, INCOME!D:D, Table2[[#This Row],[Apt]], INCOME!J:J, Table2[[#This Row],[Month]])</f>
        <v>10</v>
      </c>
      <c r="E24" s="5">
        <f>SUMIFS(EXPENSES!$D:$D, EXPENSES!$C:$C, B24, EXPENSES!$F:$F, A24, EXPENSES!$E:$E, "Direct")</f>
        <v>6267</v>
      </c>
      <c r="F24" s="18">
        <f t="shared" si="0"/>
        <v>1</v>
      </c>
      <c r="G24" s="5">
        <f>SUMIFS(EXPENSES!D:D, EXPENSES!F:F, Data_Consolidado!A24, EXPENSES!E:E, "Shared")</f>
        <v>15960</v>
      </c>
      <c r="H24" s="5">
        <f t="shared" si="4"/>
        <v>15960</v>
      </c>
      <c r="I24" s="5">
        <f t="shared" si="5"/>
        <v>22227</v>
      </c>
      <c r="J24" s="5">
        <f t="shared" si="6"/>
        <v>-4227</v>
      </c>
      <c r="K24" s="18">
        <f t="shared" si="7"/>
        <v>-0.23483333333333334</v>
      </c>
      <c r="L24">
        <f>SUMIFS(Reference_Nights[[#All],[Available_nights]], Reference_Nights[[#All],[Month]], Table2[[#This Row],[Month]], Reference_Nights[[#All],[Apt]], Table2[[#This Row],[Apt]])</f>
        <v>28</v>
      </c>
      <c r="M24" s="18">
        <f>IF(Table2[[#This Row],[Available _Nights]]=0, 0, Table2[[#This Row],[Booked_Nights]]/Table2[[#This Row],[Available _Nights]])</f>
        <v>0.35714285714285715</v>
      </c>
      <c r="N24" s="29">
        <f>IF(Table2[[#This Row],[Booked_Nights]]=0, 0, Table2[[#This Row],[Income]]/Table2[[#This Row],[Booked_Nights]])</f>
        <v>1800</v>
      </c>
      <c r="O24" s="29">
        <f>IF(L24=0,0, Table2[[#This Row],[Income]]/Table2[[#This Row],[Available _Nights]])</f>
        <v>642.85714285714289</v>
      </c>
      <c r="P24" s="30">
        <f>IF(Table2[[#This Row],[Income]]=0,0,Table2[[#This Row],[Total_Exp]]/Table2[[#This Row],[Income]])</f>
        <v>1.2348333333333332</v>
      </c>
    </row>
    <row r="25" spans="1:16" x14ac:dyDescent="0.2">
      <c r="A25" s="13" t="s">
        <v>1097</v>
      </c>
      <c r="B25" t="s">
        <v>296</v>
      </c>
      <c r="C25" s="5">
        <f>SUMIFS(Table1[FULL AMOUNT mxn pesos], Table1[Month], A25, Table1[APARTMENT], B25)</f>
        <v>0</v>
      </c>
      <c r="D25">
        <f>SUMIFS(INCOME!C:C, INCOME!D:D, Table2[[#This Row],[Apt]], INCOME!J:J, Table2[[#This Row],[Month]])</f>
        <v>0</v>
      </c>
      <c r="E25" s="5">
        <f>SUMIFS(EXPENSES!$D:$D, EXPENSES!$C:$C, B25, EXPENSES!$F:$F, A25, EXPENSES!$E:$E, "Direct")</f>
        <v>700</v>
      </c>
      <c r="F25" s="18">
        <f t="shared" si="0"/>
        <v>0</v>
      </c>
      <c r="G25" s="5">
        <f>SUMIFS(EXPENSES!D:D, EXPENSES!F:F, Data_Consolidado!A25, EXPENSES!E:E, "Shared")</f>
        <v>15960</v>
      </c>
      <c r="H25" s="5">
        <f t="shared" si="4"/>
        <v>0</v>
      </c>
      <c r="I25" s="5">
        <f t="shared" si="5"/>
        <v>700</v>
      </c>
      <c r="J25" s="5">
        <f t="shared" si="6"/>
        <v>-700</v>
      </c>
      <c r="K25" s="18" t="str">
        <f t="shared" si="7"/>
        <v>-</v>
      </c>
      <c r="L25">
        <f>SUMIFS(Reference_Nights[[#All],[Available_nights]], Reference_Nights[[#All],[Month]], Table2[[#This Row],[Month]], Reference_Nights[[#All],[Apt]], Table2[[#This Row],[Apt]])</f>
        <v>28</v>
      </c>
      <c r="M25" s="18">
        <f>IF(Table2[[#This Row],[Available _Nights]]=0, 0, Table2[[#This Row],[Booked_Nights]]/Table2[[#This Row],[Available _Nights]])</f>
        <v>0</v>
      </c>
      <c r="N25" s="29">
        <f>IF(Table2[[#This Row],[Booked_Nights]]=0, 0, Table2[[#This Row],[Income]]/Table2[[#This Row],[Booked_Nights]])</f>
        <v>0</v>
      </c>
      <c r="O25" s="29">
        <f>IF(L25=0,0, Table2[[#This Row],[Income]]/Table2[[#This Row],[Available _Nights]])</f>
        <v>0</v>
      </c>
      <c r="P25" s="30">
        <f>IF(Table2[[#This Row],[Income]]=0,0,Table2[[#This Row],[Total_Exp]]/Table2[[#This Row],[Income]])</f>
        <v>0</v>
      </c>
    </row>
    <row r="26" spans="1:16" x14ac:dyDescent="0.2">
      <c r="A26" s="13" t="s">
        <v>1097</v>
      </c>
      <c r="B26" t="s">
        <v>297</v>
      </c>
      <c r="C26" s="5">
        <f>SUMIFS(Table1[FULL AMOUNT mxn pesos], Table1[Month], A26, Table1[APARTMENT], B26)</f>
        <v>0</v>
      </c>
      <c r="D26">
        <f>SUMIFS(INCOME!C:C, INCOME!D:D, Table2[[#This Row],[Apt]], INCOME!J:J, Table2[[#This Row],[Month]])</f>
        <v>0</v>
      </c>
      <c r="E26" s="5">
        <f>SUMIFS(EXPENSES!$D:$D, EXPENSES!$C:$C, B26, EXPENSES!$F:$F, A26, EXPENSES!$E:$E, "Direct")</f>
        <v>4200</v>
      </c>
      <c r="F26" s="18">
        <f t="shared" si="0"/>
        <v>0</v>
      </c>
      <c r="G26" s="5">
        <f>SUMIFS(EXPENSES!D:D, EXPENSES!F:F, Data_Consolidado!A26, EXPENSES!E:E, "Shared")</f>
        <v>15960</v>
      </c>
      <c r="H26" s="5">
        <f>G26*F26</f>
        <v>0</v>
      </c>
      <c r="I26" s="5">
        <f>E26+H26</f>
        <v>4200</v>
      </c>
      <c r="J26" s="5">
        <f>C26-I26</f>
        <v>-4200</v>
      </c>
      <c r="K26" s="18" t="str">
        <f>IF(C26=0, "-", (J26/C26))</f>
        <v>-</v>
      </c>
      <c r="L26">
        <f>SUMIFS(Reference_Nights[[#All],[Available_nights]], Reference_Nights[[#All],[Month]], Table2[[#This Row],[Month]], Reference_Nights[[#All],[Apt]], Table2[[#This Row],[Apt]])</f>
        <v>28</v>
      </c>
      <c r="M26" s="18">
        <f>IF(Table2[[#This Row],[Available _Nights]]=0, 0, Table2[[#This Row],[Booked_Nights]]/Table2[[#This Row],[Available _Nights]])</f>
        <v>0</v>
      </c>
      <c r="N26" s="29">
        <f>IF(Table2[[#This Row],[Booked_Nights]]=0, 0, Table2[[#This Row],[Income]]/Table2[[#This Row],[Booked_Nights]])</f>
        <v>0</v>
      </c>
      <c r="O26" s="29">
        <f>IF(L26=0,0, Table2[[#This Row],[Income]]/Table2[[#This Row],[Available _Nights]])</f>
        <v>0</v>
      </c>
      <c r="P26" s="30">
        <f>IF(Table2[[#This Row],[Income]]=0,0,Table2[[#This Row],[Total_Exp]]/Table2[[#This Row],[Income]])</f>
        <v>0</v>
      </c>
    </row>
    <row r="27" spans="1:16" x14ac:dyDescent="0.2">
      <c r="A27" s="13" t="s">
        <v>1098</v>
      </c>
      <c r="B27" t="s">
        <v>295</v>
      </c>
      <c r="C27" s="5">
        <f>SUMIFS(Table1[FULL AMOUNT mxn pesos], Table1[Month], A27, Table1[APARTMENT], B27)</f>
        <v>49329.599999999999</v>
      </c>
      <c r="D27">
        <f>SUMIFS(INCOME!C:C, INCOME!D:D, Table2[[#This Row],[Apt]], INCOME!J:J, Table2[[#This Row],[Month]])</f>
        <v>26</v>
      </c>
      <c r="E27" s="5">
        <f>SUMIFS(EXPENSES!$D:$D, EXPENSES!$C:$C, B27, EXPENSES!$F:$F, A27, EXPENSES!$E:$E, "Direct")</f>
        <v>11600</v>
      </c>
      <c r="F27" s="18">
        <f t="shared" si="0"/>
        <v>0.67306306896325885</v>
      </c>
      <c r="G27" s="5">
        <f>SUMIFS(EXPENSES!D:D, EXPENSES!F:F, Data_Consolidado!A27, EXPENSES!E:E, "Shared")</f>
        <v>38209</v>
      </c>
      <c r="H27" s="5">
        <f t="shared" si="4"/>
        <v>25717.066802017158</v>
      </c>
      <c r="I27" s="5">
        <f t="shared" si="5"/>
        <v>37317.066802017158</v>
      </c>
      <c r="J27" s="5">
        <f t="shared" si="6"/>
        <v>12012.533197982841</v>
      </c>
      <c r="K27" s="18">
        <f t="shared" si="7"/>
        <v>0.24351572277056455</v>
      </c>
      <c r="L27">
        <f>SUMIFS(Reference_Nights[[#All],[Available_nights]], Reference_Nights[[#All],[Month]], Table2[[#This Row],[Month]], Reference_Nights[[#All],[Apt]], Table2[[#This Row],[Apt]])</f>
        <v>27</v>
      </c>
      <c r="M27" s="18">
        <f>IF(Table2[[#This Row],[Available _Nights]]=0, 0, Table2[[#This Row],[Booked_Nights]]/Table2[[#This Row],[Available _Nights]])</f>
        <v>0.96296296296296291</v>
      </c>
      <c r="N27" s="29">
        <f>IF(Table2[[#This Row],[Booked_Nights]]=0, 0, Table2[[#This Row],[Income]]/Table2[[#This Row],[Booked_Nights]])</f>
        <v>1897.2923076923075</v>
      </c>
      <c r="O27" s="29">
        <f>IF(L27=0,0, Table2[[#This Row],[Income]]/Table2[[#This Row],[Available _Nights]])</f>
        <v>1827.0222222222221</v>
      </c>
      <c r="P27" s="30">
        <f>IF(Table2[[#This Row],[Income]]=0,0,Table2[[#This Row],[Total_Exp]]/Table2[[#This Row],[Income]])</f>
        <v>0.75648427722943545</v>
      </c>
    </row>
    <row r="28" spans="1:16" x14ac:dyDescent="0.2">
      <c r="A28" s="13" t="s">
        <v>1098</v>
      </c>
      <c r="B28" t="s">
        <v>296</v>
      </c>
      <c r="C28" s="5">
        <f>SUMIFS(Table1[FULL AMOUNT mxn pesos], Table1[Month], A28, Table1[APARTMENT], B28)</f>
        <v>12300</v>
      </c>
      <c r="D28">
        <f>SUMIFS(INCOME!C:C, INCOME!D:D, Table2[[#This Row],[Apt]], INCOME!J:J, Table2[[#This Row],[Month]])</f>
        <v>6</v>
      </c>
      <c r="E28" s="5">
        <f>SUMIFS(EXPENSES!$D:$D, EXPENSES!$C:$C, B28, EXPENSES!$F:$F, A28, EXPENSES!$E:$E, "Direct")</f>
        <v>4470</v>
      </c>
      <c r="F28" s="18">
        <f t="shared" si="0"/>
        <v>0.16782369506843933</v>
      </c>
      <c r="G28" s="5">
        <f>SUMIFS(EXPENSES!D:D, EXPENSES!F:F, Data_Consolidado!A28, EXPENSES!E:E, "Shared")</f>
        <v>38209</v>
      </c>
      <c r="H28" s="5">
        <f t="shared" si="4"/>
        <v>6412.375564869998</v>
      </c>
      <c r="I28" s="5">
        <f t="shared" si="5"/>
        <v>10882.375564869999</v>
      </c>
      <c r="J28" s="5">
        <f t="shared" si="6"/>
        <v>1417.6244351300011</v>
      </c>
      <c r="K28" s="18">
        <f t="shared" si="7"/>
        <v>0.11525401911626025</v>
      </c>
      <c r="L28">
        <f>SUMIFS(Reference_Nights[[#All],[Available_nights]], Reference_Nights[[#All],[Month]], Table2[[#This Row],[Month]], Reference_Nights[[#All],[Apt]], Table2[[#This Row],[Apt]])</f>
        <v>27</v>
      </c>
      <c r="M28" s="18">
        <f>IF(Table2[[#This Row],[Available _Nights]]=0, 0, Table2[[#This Row],[Booked_Nights]]/Table2[[#This Row],[Available _Nights]])</f>
        <v>0.22222222222222221</v>
      </c>
      <c r="N28" s="29">
        <f>IF(Table2[[#This Row],[Booked_Nights]]=0, 0, Table2[[#This Row],[Income]]/Table2[[#This Row],[Booked_Nights]])</f>
        <v>2050</v>
      </c>
      <c r="O28" s="29">
        <f>IF(L28=0,0, Table2[[#This Row],[Income]]/Table2[[#This Row],[Available _Nights]])</f>
        <v>455.55555555555554</v>
      </c>
      <c r="P28" s="30">
        <f>IF(Table2[[#This Row],[Income]]=0,0,Table2[[#This Row],[Total_Exp]]/Table2[[#This Row],[Income]])</f>
        <v>0.88474598088373979</v>
      </c>
    </row>
    <row r="29" spans="1:16" x14ac:dyDescent="0.2">
      <c r="A29" s="13" t="s">
        <v>1098</v>
      </c>
      <c r="B29" t="s">
        <v>297</v>
      </c>
      <c r="C29" s="5">
        <f>SUMIFS(Table1[FULL AMOUNT mxn pesos], Table1[Month], A29, Table1[APARTMENT], B29)</f>
        <v>11661.6</v>
      </c>
      <c r="D29">
        <f>SUMIFS(INCOME!C:C, INCOME!D:D, Table2[[#This Row],[Apt]], INCOME!J:J, Table2[[#This Row],[Month]])</f>
        <v>8</v>
      </c>
      <c r="E29" s="5">
        <f>SUMIFS(EXPENSES!$D:$D, EXPENSES!$C:$C, B29, EXPENSES!$F:$F, A29, EXPENSES!$E:$E, "Direct")</f>
        <v>23842</v>
      </c>
      <c r="F29" s="18">
        <f t="shared" si="0"/>
        <v>0.15911323596830179</v>
      </c>
      <c r="G29" s="5">
        <f>SUMIFS(EXPENSES!D:D, EXPENSES!F:F, Data_Consolidado!A29, EXPENSES!E:E, "Shared")</f>
        <v>38209</v>
      </c>
      <c r="H29" s="5">
        <f>G29*F29</f>
        <v>6079.5576331128432</v>
      </c>
      <c r="I29" s="5">
        <f>E29+H29</f>
        <v>29921.557633112843</v>
      </c>
      <c r="J29" s="5">
        <f>C29-I29</f>
        <v>-18259.957633112841</v>
      </c>
      <c r="K29" s="18">
        <f>IF(C29=0, "-", (J29/C29))</f>
        <v>-1.5658192386218734</v>
      </c>
      <c r="L29">
        <f>SUMIFS(Reference_Nights[[#All],[Available_nights]], Reference_Nights[[#All],[Month]], Table2[[#This Row],[Month]], Reference_Nights[[#All],[Apt]], Table2[[#This Row],[Apt]])</f>
        <v>27</v>
      </c>
      <c r="M29" s="18">
        <f>IF(Table2[[#This Row],[Available _Nights]]=0, 0, Table2[[#This Row],[Booked_Nights]]/Table2[[#This Row],[Available _Nights]])</f>
        <v>0.29629629629629628</v>
      </c>
      <c r="N29" s="29">
        <f>IF(Table2[[#This Row],[Booked_Nights]]=0, 0, Table2[[#This Row],[Income]]/Table2[[#This Row],[Booked_Nights]])</f>
        <v>1457.7</v>
      </c>
      <c r="O29" s="29">
        <f>IF(L29=0,0, Table2[[#This Row],[Income]]/Table2[[#This Row],[Available _Nights]])</f>
        <v>431.9111111111111</v>
      </c>
      <c r="P29" s="30">
        <f>IF(Table2[[#This Row],[Income]]=0,0,Table2[[#This Row],[Total_Exp]]/Table2[[#This Row],[Income]])</f>
        <v>2.5658192386218737</v>
      </c>
    </row>
    <row r="30" spans="1:16" x14ac:dyDescent="0.2">
      <c r="A30" s="13" t="s">
        <v>1099</v>
      </c>
      <c r="B30" t="s">
        <v>295</v>
      </c>
      <c r="C30" s="5">
        <f>SUMIFS(Table1[FULL AMOUNT mxn pesos], Table1[Month], A30, Table1[APARTMENT], B30)</f>
        <v>56866.600000000006</v>
      </c>
      <c r="D30">
        <f>SUMIFS(INCOME!C:C, INCOME!D:D, Table2[[#This Row],[Apt]], INCOME!J:J, Table2[[#This Row],[Month]])</f>
        <v>16</v>
      </c>
      <c r="E30" s="5">
        <f>SUMIFS(EXPENSES!$D:$D, EXPENSES!$C:$C, B30, EXPENSES!$F:$F, A30, EXPENSES!$E:$E, "Direct")</f>
        <v>16310</v>
      </c>
      <c r="F30" s="18">
        <f t="shared" si="0"/>
        <v>0.29099146674199022</v>
      </c>
      <c r="G30" s="5">
        <f>SUMIFS(EXPENSES!D:D, EXPENSES!F:F, Data_Consolidado!A30, EXPENSES!E:E, "Shared")</f>
        <v>22700</v>
      </c>
      <c r="H30" s="5">
        <f t="shared" si="4"/>
        <v>6605.5062950431784</v>
      </c>
      <c r="I30" s="5">
        <f t="shared" si="5"/>
        <v>22915.506295043178</v>
      </c>
      <c r="J30" s="5">
        <f t="shared" si="6"/>
        <v>33951.093704956831</v>
      </c>
      <c r="K30" s="18">
        <f t="shared" si="7"/>
        <v>0.5970304837102417</v>
      </c>
      <c r="L30">
        <f>SUMIFS(Reference_Nights[[#All],[Available_nights]], Reference_Nights[[#All],[Month]], Table2[[#This Row],[Month]], Reference_Nights[[#All],[Apt]], Table2[[#This Row],[Apt]])</f>
        <v>28</v>
      </c>
      <c r="M30" s="18">
        <f>IF(Table2[[#This Row],[Available _Nights]]=0, 0, Table2[[#This Row],[Booked_Nights]]/Table2[[#This Row],[Available _Nights]])</f>
        <v>0.5714285714285714</v>
      </c>
      <c r="N30" s="29">
        <f>IF(Table2[[#This Row],[Booked_Nights]]=0, 0, Table2[[#This Row],[Income]]/Table2[[#This Row],[Booked_Nights]])</f>
        <v>3554.1625000000004</v>
      </c>
      <c r="O30" s="29">
        <f>IF(L30=0,0, Table2[[#This Row],[Income]]/Table2[[#This Row],[Available _Nights]])</f>
        <v>2030.9500000000003</v>
      </c>
      <c r="P30" s="30">
        <f>IF(Table2[[#This Row],[Income]]=0,0,Table2[[#This Row],[Total_Exp]]/Table2[[#This Row],[Income]])</f>
        <v>0.40296951628975841</v>
      </c>
    </row>
    <row r="31" spans="1:16" x14ac:dyDescent="0.2">
      <c r="A31" s="13" t="s">
        <v>1099</v>
      </c>
      <c r="B31" t="s">
        <v>296</v>
      </c>
      <c r="C31" s="5">
        <f>SUMIFS(Table1[FULL AMOUNT mxn pesos], Table1[Month], A31, Table1[APARTMENT], B31)</f>
        <v>74357</v>
      </c>
      <c r="D31">
        <f>SUMIFS(INCOME!C:C, INCOME!D:D, Table2[[#This Row],[Apt]], INCOME!J:J, Table2[[#This Row],[Month]])</f>
        <v>19</v>
      </c>
      <c r="E31" s="5">
        <f>SUMIFS(EXPENSES!$D:$D, EXPENSES!$C:$C, B31, EXPENSES!$F:$F, A31, EXPENSES!$E:$E, "Direct")</f>
        <v>7460</v>
      </c>
      <c r="F31" s="18">
        <f t="shared" si="0"/>
        <v>0.38049140431350154</v>
      </c>
      <c r="G31" s="5">
        <f>SUMIFS(EXPENSES!D:D, EXPENSES!F:F, Data_Consolidado!A31, EXPENSES!E:E, "Shared")</f>
        <v>22700</v>
      </c>
      <c r="H31" s="5">
        <f t="shared" si="4"/>
        <v>8637.1548779164841</v>
      </c>
      <c r="I31" s="5">
        <f t="shared" si="5"/>
        <v>16097.154877916484</v>
      </c>
      <c r="J31" s="5">
        <f t="shared" si="6"/>
        <v>58259.845122083512</v>
      </c>
      <c r="K31" s="18">
        <f t="shared" si="7"/>
        <v>0.7835152725645671</v>
      </c>
      <c r="L31">
        <f>SUMIFS(Reference_Nights[[#All],[Available_nights]], Reference_Nights[[#All],[Month]], Table2[[#This Row],[Month]], Reference_Nights[[#All],[Apt]], Table2[[#This Row],[Apt]])</f>
        <v>28</v>
      </c>
      <c r="M31" s="18">
        <f>IF(Table2[[#This Row],[Available _Nights]]=0, 0, Table2[[#This Row],[Booked_Nights]]/Table2[[#This Row],[Available _Nights]])</f>
        <v>0.6785714285714286</v>
      </c>
      <c r="N31" s="29">
        <f>IF(Table2[[#This Row],[Booked_Nights]]=0, 0, Table2[[#This Row],[Income]]/Table2[[#This Row],[Booked_Nights]])</f>
        <v>3913.5263157894738</v>
      </c>
      <c r="O31" s="29">
        <f>IF(L31=0,0, Table2[[#This Row],[Income]]/Table2[[#This Row],[Available _Nights]])</f>
        <v>2655.6071428571427</v>
      </c>
      <c r="P31" s="30">
        <f>IF(Table2[[#This Row],[Income]]=0,0,Table2[[#This Row],[Total_Exp]]/Table2[[#This Row],[Income]])</f>
        <v>0.2164847274354329</v>
      </c>
    </row>
    <row r="32" spans="1:16" x14ac:dyDescent="0.2">
      <c r="A32" s="13" t="s">
        <v>1099</v>
      </c>
      <c r="B32" t="s">
        <v>297</v>
      </c>
      <c r="C32" s="5">
        <f>SUMIFS(Table1[FULL AMOUNT mxn pesos], Table1[Month], A32, Table1[APARTMENT], B32)</f>
        <v>64200</v>
      </c>
      <c r="D32">
        <f>SUMIFS(INCOME!C:C, INCOME!D:D, Table2[[#This Row],[Apt]], INCOME!J:J, Table2[[#This Row],[Month]])</f>
        <v>42</v>
      </c>
      <c r="E32" s="5">
        <f>SUMIFS(EXPENSES!$D:$D, EXPENSES!$C:$C, B32, EXPENSES!$F:$F, A32, EXPENSES!$E:$E, "Direct")</f>
        <v>7490</v>
      </c>
      <c r="F32" s="18">
        <f t="shared" si="0"/>
        <v>0.32851712894450824</v>
      </c>
      <c r="G32" s="5">
        <f>SUMIFS(EXPENSES!D:D, EXPENSES!F:F, Data_Consolidado!A32, EXPENSES!E:E, "Shared")</f>
        <v>22700</v>
      </c>
      <c r="H32" s="5">
        <f>G32*F32</f>
        <v>7457.3388270403375</v>
      </c>
      <c r="I32" s="5">
        <f>E32+H32</f>
        <v>14947.338827040337</v>
      </c>
      <c r="J32" s="5">
        <f>C32-I32</f>
        <v>49252.661172959663</v>
      </c>
      <c r="K32" s="18">
        <f>IF(C32=0, "-", (J32/C32))</f>
        <v>0.76717540767849945</v>
      </c>
      <c r="L32">
        <f>SUMIFS(Reference_Nights[[#All],[Available_nights]], Reference_Nights[[#All],[Month]], Table2[[#This Row],[Month]], Reference_Nights[[#All],[Apt]], Table2[[#This Row],[Apt]])</f>
        <v>28</v>
      </c>
      <c r="M32" s="18">
        <f>IF(Table2[[#This Row],[Available _Nights]]=0, 0, Table2[[#This Row],[Booked_Nights]]/Table2[[#This Row],[Available _Nights]])</f>
        <v>1.5</v>
      </c>
      <c r="N32" s="29">
        <f>IF(Table2[[#This Row],[Booked_Nights]]=0, 0, Table2[[#This Row],[Income]]/Table2[[#This Row],[Booked_Nights]])</f>
        <v>1528.5714285714287</v>
      </c>
      <c r="O32" s="29">
        <f>IF(L32=0,0, Table2[[#This Row],[Income]]/Table2[[#This Row],[Available _Nights]])</f>
        <v>2292.8571428571427</v>
      </c>
      <c r="P32" s="30">
        <f>IF(Table2[[#This Row],[Income]]=0,0,Table2[[#This Row],[Total_Exp]]/Table2[[#This Row],[Income]])</f>
        <v>0.23282459232150057</v>
      </c>
    </row>
    <row r="33" spans="1:16" x14ac:dyDescent="0.2">
      <c r="A33" s="13" t="s">
        <v>1100</v>
      </c>
      <c r="B33" t="s">
        <v>295</v>
      </c>
      <c r="C33" s="5">
        <f>SUMIFS(Table1[FULL AMOUNT mxn pesos], Table1[Month], A33, Table1[APARTMENT], B33)</f>
        <v>127716.40000000001</v>
      </c>
      <c r="D33">
        <f>SUMIFS(INCOME!C:C, INCOME!D:D, Table2[[#This Row],[Apt]], INCOME!J:J, Table2[[#This Row],[Month]])</f>
        <v>43</v>
      </c>
      <c r="E33" s="5">
        <f>SUMIFS(EXPENSES!$D:$D, EXPENSES!$C:$C, B33, EXPENSES!$F:$F, A33, EXPENSES!$E:$E, "Direct")</f>
        <v>24790</v>
      </c>
      <c r="F33" s="18">
        <f t="shared" si="0"/>
        <v>0.53977007141631517</v>
      </c>
      <c r="G33" s="5">
        <f>SUMIFS(EXPENSES!D:D, EXPENSES!F:F, Data_Consolidado!A33, EXPENSES!E:E, "Shared")</f>
        <v>11670</v>
      </c>
      <c r="H33" s="5">
        <f t="shared" si="4"/>
        <v>6299.1167334283982</v>
      </c>
      <c r="I33" s="5">
        <f t="shared" si="5"/>
        <v>31089.116733428396</v>
      </c>
      <c r="J33" s="5">
        <f t="shared" si="6"/>
        <v>96627.283266571612</v>
      </c>
      <c r="K33" s="18">
        <f t="shared" si="7"/>
        <v>0.7565769413056711</v>
      </c>
      <c r="L33">
        <f>SUMIFS(Reference_Nights[[#All],[Available_nights]], Reference_Nights[[#All],[Month]], Table2[[#This Row],[Month]], Reference_Nights[[#All],[Apt]], Table2[[#This Row],[Apt]])</f>
        <v>28</v>
      </c>
      <c r="M33" s="18">
        <f>IF(Table2[[#This Row],[Available _Nights]]=0, 0, Table2[[#This Row],[Booked_Nights]]/Table2[[#This Row],[Available _Nights]])</f>
        <v>1.5357142857142858</v>
      </c>
      <c r="N33" s="29">
        <f>IF(Table2[[#This Row],[Booked_Nights]]=0, 0, Table2[[#This Row],[Income]]/Table2[[#This Row],[Booked_Nights]])</f>
        <v>2970.1488372093027</v>
      </c>
      <c r="O33" s="29">
        <f>IF(L33=0,0, Table2[[#This Row],[Income]]/Table2[[#This Row],[Available _Nights]])</f>
        <v>4561.3</v>
      </c>
      <c r="P33" s="30">
        <f>IF(Table2[[#This Row],[Income]]=0,0,Table2[[#This Row],[Total_Exp]]/Table2[[#This Row],[Income]])</f>
        <v>0.24342305869432895</v>
      </c>
    </row>
    <row r="34" spans="1:16" x14ac:dyDescent="0.2">
      <c r="A34" s="13" t="s">
        <v>1100</v>
      </c>
      <c r="B34" t="s">
        <v>296</v>
      </c>
      <c r="C34" s="5">
        <f>SUMIFS(Table1[FULL AMOUNT mxn pesos], Table1[Month], A34, Table1[APARTMENT], B34)</f>
        <v>36306.6</v>
      </c>
      <c r="D34">
        <f>SUMIFS(INCOME!C:C, INCOME!D:D, Table2[[#This Row],[Apt]], INCOME!J:J, Table2[[#This Row],[Month]])</f>
        <v>13</v>
      </c>
      <c r="E34" s="5">
        <f>SUMIFS(EXPENSES!$D:$D, EXPENSES!$C:$C, B34, EXPENSES!$F:$F, A34, EXPENSES!$E:$E, "Direct")</f>
        <v>14670</v>
      </c>
      <c r="F34" s="18">
        <f t="shared" ref="F34:F65" si="8">IF(C34=0,0,C34/SUMIF(A:A,A34,C:C))</f>
        <v>0.15344322322648921</v>
      </c>
      <c r="G34" s="5">
        <f>SUMIFS(EXPENSES!D:D, EXPENSES!F:F, Data_Consolidado!A34, EXPENSES!E:E, "Shared")</f>
        <v>11670</v>
      </c>
      <c r="H34" s="5">
        <f t="shared" si="4"/>
        <v>1790.682415053129</v>
      </c>
      <c r="I34" s="5">
        <f t="shared" si="5"/>
        <v>16460.682415053128</v>
      </c>
      <c r="J34" s="5">
        <f t="shared" si="6"/>
        <v>19845.91758494687</v>
      </c>
      <c r="K34" s="18">
        <f t="shared" si="7"/>
        <v>0.54662010722422016</v>
      </c>
      <c r="L34">
        <f>SUMIFS(Reference_Nights[[#All],[Available_nights]], Reference_Nights[[#All],[Month]], Table2[[#This Row],[Month]], Reference_Nights[[#All],[Apt]], Table2[[#This Row],[Apt]])</f>
        <v>28</v>
      </c>
      <c r="M34" s="18">
        <f>IF(Table2[[#This Row],[Available _Nights]]=0, 0, Table2[[#This Row],[Booked_Nights]]/Table2[[#This Row],[Available _Nights]])</f>
        <v>0.4642857142857143</v>
      </c>
      <c r="N34" s="29">
        <f>IF(Table2[[#This Row],[Booked_Nights]]=0, 0, Table2[[#This Row],[Income]]/Table2[[#This Row],[Booked_Nights]])</f>
        <v>2792.8153846153846</v>
      </c>
      <c r="O34" s="29">
        <f>IF(L34=0,0, Table2[[#This Row],[Income]]/Table2[[#This Row],[Available _Nights]])</f>
        <v>1296.6642857142856</v>
      </c>
      <c r="P34" s="30">
        <f>IF(Table2[[#This Row],[Income]]=0,0,Table2[[#This Row],[Total_Exp]]/Table2[[#This Row],[Income]])</f>
        <v>0.45337989277577984</v>
      </c>
    </row>
    <row r="35" spans="1:16" x14ac:dyDescent="0.2">
      <c r="A35" s="13" t="s">
        <v>1100</v>
      </c>
      <c r="B35" t="s">
        <v>297</v>
      </c>
      <c r="C35" s="5">
        <f>SUMIFS(Table1[FULL AMOUNT mxn pesos], Table1[Month], A35, Table1[APARTMENT], B35)</f>
        <v>72589.600000000006</v>
      </c>
      <c r="D35">
        <f>SUMIFS(INCOME!C:C, INCOME!D:D, Table2[[#This Row],[Apt]], INCOME!J:J, Table2[[#This Row],[Month]])</f>
        <v>22</v>
      </c>
      <c r="E35" s="5">
        <f>SUMIFS(EXPENSES!$D:$D, EXPENSES!$C:$C, B35, EXPENSES!$F:$F, A35, EXPENSES!$E:$E, "Direct")</f>
        <v>17390</v>
      </c>
      <c r="F35" s="18">
        <f t="shared" si="8"/>
        <v>0.30678670535719571</v>
      </c>
      <c r="G35" s="5">
        <f>SUMIFS(EXPENSES!D:D, EXPENSES!F:F, Data_Consolidado!A35, EXPENSES!E:E, "Shared")</f>
        <v>11670</v>
      </c>
      <c r="H35" s="5">
        <f>G35*F35</f>
        <v>3580.2008515184739</v>
      </c>
      <c r="I35" s="5">
        <f>E35+H35</f>
        <v>20970.200851518475</v>
      </c>
      <c r="J35" s="5">
        <f>C35-I35</f>
        <v>51619.399148481534</v>
      </c>
      <c r="K35" s="18">
        <f>IF(C35=0, "-", (J35/C35))</f>
        <v>0.71111287496392772</v>
      </c>
      <c r="L35">
        <f>SUMIFS(Reference_Nights[[#All],[Available_nights]], Reference_Nights[[#All],[Month]], Table2[[#This Row],[Month]], Reference_Nights[[#All],[Apt]], Table2[[#This Row],[Apt]])</f>
        <v>28</v>
      </c>
      <c r="M35" s="18">
        <f>IF(Table2[[#This Row],[Available _Nights]]=0, 0, Table2[[#This Row],[Booked_Nights]]/Table2[[#This Row],[Available _Nights]])</f>
        <v>0.7857142857142857</v>
      </c>
      <c r="N35" s="29">
        <f>IF(Table2[[#This Row],[Booked_Nights]]=0, 0, Table2[[#This Row],[Income]]/Table2[[#This Row],[Booked_Nights]])</f>
        <v>3299.5272727272732</v>
      </c>
      <c r="O35" s="29">
        <f>IF(L35=0,0, Table2[[#This Row],[Income]]/Table2[[#This Row],[Available _Nights]])</f>
        <v>2592.4857142857145</v>
      </c>
      <c r="P35" s="30">
        <f>IF(Table2[[#This Row],[Income]]=0,0,Table2[[#This Row],[Total_Exp]]/Table2[[#This Row],[Income]])</f>
        <v>0.28888712503607228</v>
      </c>
    </row>
    <row r="36" spans="1:16" x14ac:dyDescent="0.2">
      <c r="A36" s="13" t="s">
        <v>1101</v>
      </c>
      <c r="B36" t="s">
        <v>295</v>
      </c>
      <c r="C36" s="5">
        <f>SUMIFS(Table1[FULL AMOUNT mxn pesos], Table1[Month], A36, Table1[APARTMENT], B36)</f>
        <v>50500.800000000003</v>
      </c>
      <c r="D36">
        <f>SUMIFS(INCOME!C:C, INCOME!D:D, Table2[[#This Row],[Apt]], INCOME!J:J, Table2[[#This Row],[Month]])</f>
        <v>47</v>
      </c>
      <c r="E36" s="5">
        <f>SUMIFS(EXPENSES!$D:$D, EXPENSES!$C:$C, B36, EXPENSES!$F:$F, A36, EXPENSES!$E:$E, "Direct")</f>
        <v>12601</v>
      </c>
      <c r="F36" s="18">
        <f t="shared" si="8"/>
        <v>0.32686855820239386</v>
      </c>
      <c r="G36" s="5">
        <f>SUMIFS(EXPENSES!D:D, EXPENSES!F:F, Data_Consolidado!A36, EXPENSES!E:E, "Shared")</f>
        <v>26670</v>
      </c>
      <c r="H36" s="5">
        <f t="shared" si="4"/>
        <v>8717.5844472578447</v>
      </c>
      <c r="I36" s="5">
        <f t="shared" si="5"/>
        <v>21318.584447257846</v>
      </c>
      <c r="J36" s="5">
        <f t="shared" si="6"/>
        <v>29182.215552742156</v>
      </c>
      <c r="K36" s="18">
        <f t="shared" si="7"/>
        <v>0.57785650034736391</v>
      </c>
      <c r="L36">
        <f>SUMIFS(Reference_Nights[[#All],[Available_nights]], Reference_Nights[[#All],[Month]], Table2[[#This Row],[Month]], Reference_Nights[[#All],[Apt]], Table2[[#This Row],[Apt]])</f>
        <v>25</v>
      </c>
      <c r="M36" s="18">
        <f>IF(Table2[[#This Row],[Available _Nights]]=0, 0, Table2[[#This Row],[Booked_Nights]]/Table2[[#This Row],[Available _Nights]])</f>
        <v>1.88</v>
      </c>
      <c r="N36" s="29">
        <f>IF(Table2[[#This Row],[Booked_Nights]]=0, 0, Table2[[#This Row],[Income]]/Table2[[#This Row],[Booked_Nights]])</f>
        <v>1074.4851063829788</v>
      </c>
      <c r="O36" s="29">
        <f>IF(L36=0,0, Table2[[#This Row],[Income]]/Table2[[#This Row],[Available _Nights]])</f>
        <v>2020.0320000000002</v>
      </c>
      <c r="P36" s="30">
        <f>IF(Table2[[#This Row],[Income]]=0,0,Table2[[#This Row],[Total_Exp]]/Table2[[#This Row],[Income]])</f>
        <v>0.42214349965263609</v>
      </c>
    </row>
    <row r="37" spans="1:16" x14ac:dyDescent="0.2">
      <c r="A37" s="13" t="s">
        <v>1101</v>
      </c>
      <c r="B37" t="s">
        <v>296</v>
      </c>
      <c r="C37" s="5">
        <f>SUMIFS(Table1[FULL AMOUNT mxn pesos], Table1[Month], A37, Table1[APARTMENT], B37)</f>
        <v>40885.599999999999</v>
      </c>
      <c r="D37">
        <f>SUMIFS(INCOME!C:C, INCOME!D:D, Table2[[#This Row],[Apt]], INCOME!J:J, Table2[[#This Row],[Month]])</f>
        <v>37</v>
      </c>
      <c r="E37" s="5">
        <f>SUMIFS(EXPENSES!$D:$D, EXPENSES!$C:$C, B37, EXPENSES!$F:$F, A37, EXPENSES!$E:$E, "Direct")</f>
        <v>9120</v>
      </c>
      <c r="F37" s="18">
        <f t="shared" si="8"/>
        <v>0.26463377061828314</v>
      </c>
      <c r="G37" s="5">
        <f>SUMIFS(EXPENSES!D:D, EXPENSES!F:F, Data_Consolidado!A37, EXPENSES!E:E, "Shared")</f>
        <v>26670</v>
      </c>
      <c r="H37" s="5">
        <f t="shared" si="4"/>
        <v>7057.7826623896117</v>
      </c>
      <c r="I37" s="5">
        <f t="shared" si="5"/>
        <v>16177.782662389611</v>
      </c>
      <c r="J37" s="5">
        <f t="shared" si="6"/>
        <v>24707.817337610388</v>
      </c>
      <c r="K37" s="18">
        <f t="shared" si="7"/>
        <v>0.60431587986015589</v>
      </c>
      <c r="L37">
        <f>SUMIFS(Reference_Nights[[#All],[Available_nights]], Reference_Nights[[#All],[Month]], Table2[[#This Row],[Month]], Reference_Nights[[#All],[Apt]], Table2[[#This Row],[Apt]])</f>
        <v>25</v>
      </c>
      <c r="M37" s="18">
        <f>IF(Table2[[#This Row],[Available _Nights]]=0, 0, Table2[[#This Row],[Booked_Nights]]/Table2[[#This Row],[Available _Nights]])</f>
        <v>1.48</v>
      </c>
      <c r="N37" s="29">
        <f>IF(Table2[[#This Row],[Booked_Nights]]=0, 0, Table2[[#This Row],[Income]]/Table2[[#This Row],[Booked_Nights]])</f>
        <v>1105.0162162162162</v>
      </c>
      <c r="O37" s="29">
        <f>IF(L37=0,0, Table2[[#This Row],[Income]]/Table2[[#This Row],[Available _Nights]])</f>
        <v>1635.424</v>
      </c>
      <c r="P37" s="30">
        <f>IF(Table2[[#This Row],[Income]]=0,0,Table2[[#This Row],[Total_Exp]]/Table2[[#This Row],[Income]])</f>
        <v>0.39568412013984411</v>
      </c>
    </row>
    <row r="38" spans="1:16" x14ac:dyDescent="0.2">
      <c r="A38" s="13" t="s">
        <v>1101</v>
      </c>
      <c r="B38" t="s">
        <v>297</v>
      </c>
      <c r="C38" s="5">
        <f>SUMIFS(Table1[FULL AMOUNT mxn pesos], Table1[Month], A38, Table1[APARTMENT], B38)</f>
        <v>63112.4</v>
      </c>
      <c r="D38">
        <f>SUMIFS(INCOME!C:C, INCOME!D:D, Table2[[#This Row],[Apt]], INCOME!J:J, Table2[[#This Row],[Month]])</f>
        <v>32</v>
      </c>
      <c r="E38" s="5">
        <f>SUMIFS(EXPENSES!$D:$D, EXPENSES!$C:$C, B38, EXPENSES!$F:$F, A38, EXPENSES!$E:$E, "Direct")</f>
        <v>12036</v>
      </c>
      <c r="F38" s="18">
        <f t="shared" si="8"/>
        <v>0.40849767117932312</v>
      </c>
      <c r="G38" s="5">
        <f>SUMIFS(EXPENSES!D:D, EXPENSES!F:F, Data_Consolidado!A38, EXPENSES!E:E, "Shared")</f>
        <v>26670</v>
      </c>
      <c r="H38" s="5">
        <f>G38*F38</f>
        <v>10894.632890352548</v>
      </c>
      <c r="I38" s="5">
        <f>E38+H38</f>
        <v>22930.63289035255</v>
      </c>
      <c r="J38" s="5">
        <f>C38-I38</f>
        <v>40181.767109647451</v>
      </c>
      <c r="K38" s="18">
        <f>IF(C38=0, "-", (J38/C38))</f>
        <v>0.63666992714026804</v>
      </c>
      <c r="L38">
        <f>SUMIFS(Reference_Nights[[#All],[Available_nights]], Reference_Nights[[#All],[Month]], Table2[[#This Row],[Month]], Reference_Nights[[#All],[Apt]], Table2[[#This Row],[Apt]])</f>
        <v>25</v>
      </c>
      <c r="M38" s="18">
        <f>IF(Table2[[#This Row],[Available _Nights]]=0, 0, Table2[[#This Row],[Booked_Nights]]/Table2[[#This Row],[Available _Nights]])</f>
        <v>1.28</v>
      </c>
      <c r="N38" s="29">
        <f>IF(Table2[[#This Row],[Booked_Nights]]=0, 0, Table2[[#This Row],[Income]]/Table2[[#This Row],[Booked_Nights]])</f>
        <v>1972.2625</v>
      </c>
      <c r="O38" s="29">
        <f>IF(L38=0,0, Table2[[#This Row],[Income]]/Table2[[#This Row],[Available _Nights]])</f>
        <v>2524.4960000000001</v>
      </c>
      <c r="P38" s="30">
        <f>IF(Table2[[#This Row],[Income]]=0,0,Table2[[#This Row],[Total_Exp]]/Table2[[#This Row],[Income]])</f>
        <v>0.36333007285973201</v>
      </c>
    </row>
    <row r="39" spans="1:16" x14ac:dyDescent="0.2">
      <c r="A39" s="13" t="s">
        <v>1102</v>
      </c>
      <c r="B39" t="s">
        <v>295</v>
      </c>
      <c r="C39" s="5">
        <f>SUMIFS(Table1[FULL AMOUNT mxn pesos], Table1[Month], A39, Table1[APARTMENT], B39)</f>
        <v>34715</v>
      </c>
      <c r="D39">
        <f>SUMIFS(INCOME!C:C, INCOME!D:D, Table2[[#This Row],[Apt]], INCOME!J:J, Table2[[#This Row],[Month]])</f>
        <v>17</v>
      </c>
      <c r="E39" s="5">
        <f>SUMIFS(EXPENSES!$D:$D, EXPENSES!$C:$C, B39, EXPENSES!$F:$F, A39, EXPENSES!$E:$E, "Direct")</f>
        <v>43090</v>
      </c>
      <c r="F39" s="18">
        <f t="shared" si="8"/>
        <v>0.53097277454879166</v>
      </c>
      <c r="G39" s="5">
        <f>SUMIFS(EXPENSES!D:D, EXPENSES!F:F, Data_Consolidado!A39, EXPENSES!E:E, "Shared")</f>
        <v>25160</v>
      </c>
      <c r="H39" s="5">
        <f t="shared" si="4"/>
        <v>13359.275007647599</v>
      </c>
      <c r="I39" s="5">
        <f t="shared" si="5"/>
        <v>56449.2750076476</v>
      </c>
      <c r="J39" s="5">
        <f t="shared" si="6"/>
        <v>-21734.2750076476</v>
      </c>
      <c r="K39" s="18">
        <f t="shared" si="7"/>
        <v>-0.62607734430786688</v>
      </c>
      <c r="L39">
        <f>SUMIFS(Reference_Nights[[#All],[Available_nights]], Reference_Nights[[#All],[Month]], Table2[[#This Row],[Month]], Reference_Nights[[#All],[Apt]], Table2[[#This Row],[Apt]])</f>
        <v>28</v>
      </c>
      <c r="M39" s="18">
        <f>IF(Table2[[#This Row],[Available _Nights]]=0, 0, Table2[[#This Row],[Booked_Nights]]/Table2[[#This Row],[Available _Nights]])</f>
        <v>0.6071428571428571</v>
      </c>
      <c r="N39" s="29">
        <f>IF(Table2[[#This Row],[Booked_Nights]]=0, 0, Table2[[#This Row],[Income]]/Table2[[#This Row],[Booked_Nights]])</f>
        <v>2042.0588235294117</v>
      </c>
      <c r="O39" s="29">
        <f>IF(L39=0,0, Table2[[#This Row],[Income]]/Table2[[#This Row],[Available _Nights]])</f>
        <v>1239.8214285714287</v>
      </c>
      <c r="P39" s="30">
        <f>IF(Table2[[#This Row],[Income]]=0,0,Table2[[#This Row],[Total_Exp]]/Table2[[#This Row],[Income]])</f>
        <v>1.6260773443078669</v>
      </c>
    </row>
    <row r="40" spans="1:16" x14ac:dyDescent="0.2">
      <c r="A40" s="13" t="s">
        <v>1102</v>
      </c>
      <c r="B40" t="s">
        <v>296</v>
      </c>
      <c r="C40" s="5">
        <f>SUMIFS(Table1[FULL AMOUNT mxn pesos], Table1[Month], A40, Table1[APARTMENT], B40)</f>
        <v>9465</v>
      </c>
      <c r="D40">
        <f>SUMIFS(INCOME!C:C, INCOME!D:D, Table2[[#This Row],[Apt]], INCOME!J:J, Table2[[#This Row],[Month]])</f>
        <v>4</v>
      </c>
      <c r="E40" s="5">
        <f>SUMIFS(EXPENSES!$D:$D, EXPENSES!$C:$C, B40, EXPENSES!$F:$F, A40, EXPENSES!$E:$E, "Direct")</f>
        <v>23353</v>
      </c>
      <c r="F40" s="18">
        <f t="shared" si="8"/>
        <v>0.14476904252064851</v>
      </c>
      <c r="G40" s="5">
        <f>SUMIFS(EXPENSES!D:D, EXPENSES!F:F, Data_Consolidado!A40, EXPENSES!E:E, "Shared")</f>
        <v>25160</v>
      </c>
      <c r="H40" s="5">
        <f t="shared" si="4"/>
        <v>3642.3891098195168</v>
      </c>
      <c r="I40" s="5">
        <f t="shared" si="5"/>
        <v>26995.389109819516</v>
      </c>
      <c r="J40" s="5">
        <f t="shared" si="6"/>
        <v>-17530.389109819516</v>
      </c>
      <c r="K40" s="18">
        <f t="shared" si="7"/>
        <v>-1.8521277453586389</v>
      </c>
      <c r="L40">
        <f>SUMIFS(Reference_Nights[[#All],[Available_nights]], Reference_Nights[[#All],[Month]], Table2[[#This Row],[Month]], Reference_Nights[[#All],[Apt]], Table2[[#This Row],[Apt]])</f>
        <v>28</v>
      </c>
      <c r="M40" s="18">
        <f>IF(Table2[[#This Row],[Available _Nights]]=0, 0, Table2[[#This Row],[Booked_Nights]]/Table2[[#This Row],[Available _Nights]])</f>
        <v>0.14285714285714285</v>
      </c>
      <c r="N40" s="29">
        <f>IF(Table2[[#This Row],[Booked_Nights]]=0, 0, Table2[[#This Row],[Income]]/Table2[[#This Row],[Booked_Nights]])</f>
        <v>2366.25</v>
      </c>
      <c r="O40" s="29">
        <f>IF(L40=0,0, Table2[[#This Row],[Income]]/Table2[[#This Row],[Available _Nights]])</f>
        <v>338.03571428571428</v>
      </c>
      <c r="P40" s="30">
        <f>IF(Table2[[#This Row],[Income]]=0,0,Table2[[#This Row],[Total_Exp]]/Table2[[#This Row],[Income]])</f>
        <v>2.8521277453586387</v>
      </c>
    </row>
    <row r="41" spans="1:16" x14ac:dyDescent="0.2">
      <c r="A41" s="13" t="s">
        <v>1102</v>
      </c>
      <c r="B41" t="s">
        <v>297</v>
      </c>
      <c r="C41" s="5">
        <f>SUMIFS(Table1[FULL AMOUNT mxn pesos], Table1[Month], A41, Table1[APARTMENT], B41)</f>
        <v>21200</v>
      </c>
      <c r="D41">
        <f>SUMIFS(INCOME!C:C, INCOME!D:D, Table2[[#This Row],[Apt]], INCOME!J:J, Table2[[#This Row],[Month]])</f>
        <v>9</v>
      </c>
      <c r="E41" s="5">
        <f>SUMIFS(EXPENSES!$D:$D, EXPENSES!$C:$C, B41, EXPENSES!$F:$F, A41, EXPENSES!$E:$E, "Direct")</f>
        <v>46490</v>
      </c>
      <c r="F41" s="18">
        <f t="shared" si="8"/>
        <v>0.3242581829305598</v>
      </c>
      <c r="G41" s="5">
        <f>SUMIFS(EXPENSES!D:D, EXPENSES!F:F, Data_Consolidado!A41, EXPENSES!E:E, "Shared")</f>
        <v>25160</v>
      </c>
      <c r="H41" s="5">
        <f>G41*F41</f>
        <v>8158.3358825328842</v>
      </c>
      <c r="I41" s="5">
        <f>E41+H41</f>
        <v>54648.335882532883</v>
      </c>
      <c r="J41" s="5">
        <f>C41-I41</f>
        <v>-33448.335882532883</v>
      </c>
      <c r="K41" s="18">
        <f>IF(C41=0, "-", (J41/C41))</f>
        <v>-1.5777516925723059</v>
      </c>
      <c r="L41">
        <f>SUMIFS(Reference_Nights[[#All],[Available_nights]], Reference_Nights[[#All],[Month]], Table2[[#This Row],[Month]], Reference_Nights[[#All],[Apt]], Table2[[#This Row],[Apt]])</f>
        <v>28</v>
      </c>
      <c r="M41" s="18">
        <f>IF(Table2[[#This Row],[Available _Nights]]=0, 0, Table2[[#This Row],[Booked_Nights]]/Table2[[#This Row],[Available _Nights]])</f>
        <v>0.32142857142857145</v>
      </c>
      <c r="N41" s="29">
        <f>IF(Table2[[#This Row],[Booked_Nights]]=0, 0, Table2[[#This Row],[Income]]/Table2[[#This Row],[Booked_Nights]])</f>
        <v>2355.5555555555557</v>
      </c>
      <c r="O41" s="29">
        <f>IF(L41=0,0, Table2[[#This Row],[Income]]/Table2[[#This Row],[Available _Nights]])</f>
        <v>757.14285714285711</v>
      </c>
      <c r="P41" s="30">
        <f>IF(Table2[[#This Row],[Income]]=0,0,Table2[[#This Row],[Total_Exp]]/Table2[[#This Row],[Income]])</f>
        <v>2.5777516925723059</v>
      </c>
    </row>
    <row r="42" spans="1:16" x14ac:dyDescent="0.2">
      <c r="A42" s="13" t="s">
        <v>1103</v>
      </c>
      <c r="B42" t="s">
        <v>295</v>
      </c>
      <c r="C42" s="5">
        <f>SUMIFS(Table1[FULL AMOUNT mxn pesos], Table1[Month], A42, Table1[APARTMENT], B42)</f>
        <v>31235.200000000001</v>
      </c>
      <c r="D42">
        <f>SUMIFS(INCOME!C:C, INCOME!D:D, Table2[[#This Row],[Apt]], INCOME!J:J, Table2[[#This Row],[Month]])</f>
        <v>10</v>
      </c>
      <c r="E42" s="5">
        <f>SUMIFS(EXPENSES!$D:$D, EXPENSES!$C:$C, B42, EXPENSES!$F:$F, A42, EXPENSES!$E:$E, "Direct")</f>
        <v>30130</v>
      </c>
      <c r="F42" s="18">
        <f t="shared" si="8"/>
        <v>0.20583978933106284</v>
      </c>
      <c r="G42" s="5">
        <f>SUMIFS(EXPENSES!D:D, EXPENSES!F:F, Data_Consolidado!A42, EXPENSES!E:E, "Shared")</f>
        <v>3612</v>
      </c>
      <c r="H42" s="5">
        <f t="shared" si="4"/>
        <v>743.49331906379894</v>
      </c>
      <c r="I42" s="5">
        <f t="shared" si="5"/>
        <v>30873.4933190638</v>
      </c>
      <c r="J42" s="5">
        <f t="shared" si="6"/>
        <v>361.70668093620043</v>
      </c>
      <c r="K42" s="18">
        <f t="shared" si="7"/>
        <v>1.1580098124430144E-2</v>
      </c>
      <c r="L42">
        <f>SUMIFS(Reference_Nights[[#All],[Available_nights]], Reference_Nights[[#All],[Month]], Table2[[#This Row],[Month]], Reference_Nights[[#All],[Apt]], Table2[[#This Row],[Apt]])</f>
        <v>27</v>
      </c>
      <c r="M42" s="18">
        <f>IF(Table2[[#This Row],[Available _Nights]]=0, 0, Table2[[#This Row],[Booked_Nights]]/Table2[[#This Row],[Available _Nights]])</f>
        <v>0.37037037037037035</v>
      </c>
      <c r="N42" s="29">
        <f>IF(Table2[[#This Row],[Booked_Nights]]=0, 0, Table2[[#This Row],[Income]]/Table2[[#This Row],[Booked_Nights]])</f>
        <v>3123.52</v>
      </c>
      <c r="O42" s="29">
        <f>IF(L42=0,0, Table2[[#This Row],[Income]]/Table2[[#This Row],[Available _Nights]])</f>
        <v>1156.8592592592593</v>
      </c>
      <c r="P42" s="30">
        <f>IF(Table2[[#This Row],[Income]]=0,0,Table2[[#This Row],[Total_Exp]]/Table2[[#This Row],[Income]])</f>
        <v>0.98841990187556983</v>
      </c>
    </row>
    <row r="43" spans="1:16" x14ac:dyDescent="0.2">
      <c r="A43" s="13" t="s">
        <v>1103</v>
      </c>
      <c r="B43" t="s">
        <v>296</v>
      </c>
      <c r="C43" s="5">
        <f>SUMIFS(Table1[FULL AMOUNT mxn pesos], Table1[Month], A43, Table1[APARTMENT], B43)</f>
        <v>52368.6</v>
      </c>
      <c r="D43">
        <f>SUMIFS(INCOME!C:C, INCOME!D:D, Table2[[#This Row],[Apt]], INCOME!J:J, Table2[[#This Row],[Month]])</f>
        <v>12</v>
      </c>
      <c r="E43" s="5">
        <f>SUMIFS(EXPENSES!$D:$D, EXPENSES!$C:$C, B43, EXPENSES!$F:$F, A43, EXPENSES!$E:$E, "Direct")</f>
        <v>20200</v>
      </c>
      <c r="F43" s="18">
        <f t="shared" si="8"/>
        <v>0.34510877444558374</v>
      </c>
      <c r="G43" s="5">
        <f>SUMIFS(EXPENSES!D:D, EXPENSES!F:F, Data_Consolidado!A43, EXPENSES!E:E, "Shared")</f>
        <v>3612</v>
      </c>
      <c r="H43" s="5">
        <f t="shared" si="4"/>
        <v>1246.5328932974485</v>
      </c>
      <c r="I43" s="5">
        <f t="shared" si="5"/>
        <v>21446.532893297448</v>
      </c>
      <c r="J43" s="5">
        <f t="shared" si="6"/>
        <v>30922.067106702551</v>
      </c>
      <c r="K43" s="18">
        <f t="shared" si="7"/>
        <v>0.59046961550819677</v>
      </c>
      <c r="L43">
        <f>SUMIFS(Reference_Nights[[#All],[Available_nights]], Reference_Nights[[#All],[Month]], Table2[[#This Row],[Month]], Reference_Nights[[#All],[Apt]], Table2[[#This Row],[Apt]])</f>
        <v>27</v>
      </c>
      <c r="M43" s="18">
        <f>IF(Table2[[#This Row],[Available _Nights]]=0, 0, Table2[[#This Row],[Booked_Nights]]/Table2[[#This Row],[Available _Nights]])</f>
        <v>0.44444444444444442</v>
      </c>
      <c r="N43" s="29">
        <f>IF(Table2[[#This Row],[Booked_Nights]]=0, 0, Table2[[#This Row],[Income]]/Table2[[#This Row],[Booked_Nights]])</f>
        <v>4364.05</v>
      </c>
      <c r="O43" s="29">
        <f>IF(L43=0,0, Table2[[#This Row],[Income]]/Table2[[#This Row],[Available _Nights]])</f>
        <v>1939.5777777777778</v>
      </c>
      <c r="P43" s="30">
        <f>IF(Table2[[#This Row],[Income]]=0,0,Table2[[#This Row],[Total_Exp]]/Table2[[#This Row],[Income]])</f>
        <v>0.40953038449180329</v>
      </c>
    </row>
    <row r="44" spans="1:16" x14ac:dyDescent="0.2">
      <c r="A44" s="13" t="s">
        <v>1103</v>
      </c>
      <c r="B44" t="s">
        <v>297</v>
      </c>
      <c r="C44" s="5">
        <f>SUMIFS(Table1[FULL AMOUNT mxn pesos], Table1[Month], A44, Table1[APARTMENT], B44)</f>
        <v>68141.399999999994</v>
      </c>
      <c r="D44">
        <f>SUMIFS(INCOME!C:C, INCOME!D:D, Table2[[#This Row],[Apt]], INCOME!J:J, Table2[[#This Row],[Month]])</f>
        <v>24</v>
      </c>
      <c r="E44" s="5">
        <f>SUMIFS(EXPENSES!$D:$D, EXPENSES!$C:$C, B44, EXPENSES!$F:$F, A44, EXPENSES!$E:$E, "Direct")</f>
        <v>29030</v>
      </c>
      <c r="F44" s="18">
        <f t="shared" si="8"/>
        <v>0.44905143622335331</v>
      </c>
      <c r="G44" s="5">
        <f>SUMIFS(EXPENSES!D:D, EXPENSES!F:F, Data_Consolidado!A44, EXPENSES!E:E, "Shared")</f>
        <v>3612</v>
      </c>
      <c r="H44" s="5">
        <f>G44*F44</f>
        <v>1621.9737876387521</v>
      </c>
      <c r="I44" s="5">
        <f>E44+H44</f>
        <v>30651.973787638752</v>
      </c>
      <c r="J44" s="5">
        <f>C44-I44</f>
        <v>37489.426212361243</v>
      </c>
      <c r="K44" s="18">
        <f>IF(C44=0, "-", (J44/C44))</f>
        <v>0.55017105918518328</v>
      </c>
      <c r="L44">
        <f>SUMIFS(Reference_Nights[[#All],[Available_nights]], Reference_Nights[[#All],[Month]], Table2[[#This Row],[Month]], Reference_Nights[[#All],[Apt]], Table2[[#This Row],[Apt]])</f>
        <v>27</v>
      </c>
      <c r="M44" s="18">
        <f>IF(Table2[[#This Row],[Available _Nights]]=0, 0, Table2[[#This Row],[Booked_Nights]]/Table2[[#This Row],[Available _Nights]])</f>
        <v>0.88888888888888884</v>
      </c>
      <c r="N44" s="29">
        <f>IF(Table2[[#This Row],[Booked_Nights]]=0, 0, Table2[[#This Row],[Income]]/Table2[[#This Row],[Booked_Nights]])</f>
        <v>2839.2249999999999</v>
      </c>
      <c r="O44" s="29">
        <f>IF(L44=0,0, Table2[[#This Row],[Income]]/Table2[[#This Row],[Available _Nights]])</f>
        <v>2523.7555555555555</v>
      </c>
      <c r="P44" s="30">
        <f>IF(Table2[[#This Row],[Income]]=0,0,Table2[[#This Row],[Total_Exp]]/Table2[[#This Row],[Income]])</f>
        <v>0.44982894081481678</v>
      </c>
    </row>
    <row r="45" spans="1:16" x14ac:dyDescent="0.2">
      <c r="A45" s="13" t="s">
        <v>1104</v>
      </c>
      <c r="B45" t="s">
        <v>295</v>
      </c>
      <c r="C45" s="5">
        <f>SUMIFS(Table1[FULL AMOUNT mxn pesos], Table1[Month], A45, Table1[APARTMENT], B45)</f>
        <v>0</v>
      </c>
      <c r="D45">
        <f>SUMIFS(INCOME!C:C, INCOME!D:D, Table2[[#This Row],[Apt]], INCOME!J:J, Table2[[#This Row],[Month]])</f>
        <v>0</v>
      </c>
      <c r="E45" s="5">
        <f>SUMIFS(EXPENSES!$D:$D, EXPENSES!$C:$C, B45, EXPENSES!$F:$F, A45, EXPENSES!$E:$E, "Direct")</f>
        <v>42910</v>
      </c>
      <c r="F45" s="18">
        <f t="shared" si="8"/>
        <v>0</v>
      </c>
      <c r="G45" s="5">
        <f>SUMIFS(EXPENSES!D:D, EXPENSES!F:F, Data_Consolidado!A45, EXPENSES!E:E, "Shared")</f>
        <v>12450</v>
      </c>
      <c r="H45" s="5">
        <f t="shared" si="4"/>
        <v>0</v>
      </c>
      <c r="I45" s="5">
        <f t="shared" si="5"/>
        <v>42910</v>
      </c>
      <c r="J45" s="5">
        <f t="shared" si="6"/>
        <v>-42910</v>
      </c>
      <c r="K45" s="18" t="str">
        <f t="shared" si="7"/>
        <v>-</v>
      </c>
      <c r="L45">
        <f>SUMIFS(Reference_Nights[[#All],[Available_nights]], Reference_Nights[[#All],[Month]], Table2[[#This Row],[Month]], Reference_Nights[[#All],[Apt]], Table2[[#This Row],[Apt]])</f>
        <v>28</v>
      </c>
      <c r="M45" s="18">
        <f>IF(Table2[[#This Row],[Available _Nights]]=0, 0, Table2[[#This Row],[Booked_Nights]]/Table2[[#This Row],[Available _Nights]])</f>
        <v>0</v>
      </c>
      <c r="N45" s="29">
        <f>IF(Table2[[#This Row],[Booked_Nights]]=0, 0, Table2[[#This Row],[Income]]/Table2[[#This Row],[Booked_Nights]])</f>
        <v>0</v>
      </c>
      <c r="O45" s="29">
        <f>IF(L45=0,0, Table2[[#This Row],[Income]]/Table2[[#This Row],[Available _Nights]])</f>
        <v>0</v>
      </c>
      <c r="P45" s="30">
        <f>IF(Table2[[#This Row],[Income]]=0,0,Table2[[#This Row],[Total_Exp]]/Table2[[#This Row],[Income]])</f>
        <v>0</v>
      </c>
    </row>
    <row r="46" spans="1:16" x14ac:dyDescent="0.2">
      <c r="A46" s="13" t="s">
        <v>1104</v>
      </c>
      <c r="B46" t="s">
        <v>296</v>
      </c>
      <c r="C46" s="5">
        <f>SUMIFS(Table1[FULL AMOUNT mxn pesos], Table1[Month], A46, Table1[APARTMENT], B46)</f>
        <v>0</v>
      </c>
      <c r="D46">
        <f>SUMIFS(INCOME!C:C, INCOME!D:D, Table2[[#This Row],[Apt]], INCOME!J:J, Table2[[#This Row],[Month]])</f>
        <v>0</v>
      </c>
      <c r="E46" s="5">
        <f>SUMIFS(EXPENSES!$D:$D, EXPENSES!$C:$C, B46, EXPENSES!$F:$F, A46, EXPENSES!$E:$E, "Direct")</f>
        <v>19800</v>
      </c>
      <c r="F46" s="18">
        <f t="shared" si="8"/>
        <v>0</v>
      </c>
      <c r="G46" s="5">
        <f>SUMIFS(EXPENSES!D:D, EXPENSES!F:F, Data_Consolidado!A46, EXPENSES!E:E, "Shared")</f>
        <v>12450</v>
      </c>
      <c r="H46" s="5">
        <f t="shared" si="4"/>
        <v>0</v>
      </c>
      <c r="I46" s="5">
        <f t="shared" si="5"/>
        <v>19800</v>
      </c>
      <c r="J46" s="5">
        <f t="shared" si="6"/>
        <v>-19800</v>
      </c>
      <c r="K46" s="18" t="str">
        <f t="shared" si="7"/>
        <v>-</v>
      </c>
      <c r="L46">
        <f>SUMIFS(Reference_Nights[[#All],[Available_nights]], Reference_Nights[[#All],[Month]], Table2[[#This Row],[Month]], Reference_Nights[[#All],[Apt]], Table2[[#This Row],[Apt]])</f>
        <v>28</v>
      </c>
      <c r="M46" s="18">
        <f>IF(Table2[[#This Row],[Available _Nights]]=0, 0, Table2[[#This Row],[Booked_Nights]]/Table2[[#This Row],[Available _Nights]])</f>
        <v>0</v>
      </c>
      <c r="N46" s="29">
        <f>IF(Table2[[#This Row],[Booked_Nights]]=0, 0, Table2[[#This Row],[Income]]/Table2[[#This Row],[Booked_Nights]])</f>
        <v>0</v>
      </c>
      <c r="O46" s="29">
        <f>IF(L46=0,0, Table2[[#This Row],[Income]]/Table2[[#This Row],[Available _Nights]])</f>
        <v>0</v>
      </c>
      <c r="P46" s="30">
        <f>IF(Table2[[#This Row],[Income]]=0,0,Table2[[#This Row],[Total_Exp]]/Table2[[#This Row],[Income]])</f>
        <v>0</v>
      </c>
    </row>
    <row r="47" spans="1:16" x14ac:dyDescent="0.2">
      <c r="A47" s="13" t="s">
        <v>1104</v>
      </c>
      <c r="B47" t="s">
        <v>297</v>
      </c>
      <c r="C47" s="5">
        <f>SUMIFS(Table1[FULL AMOUNT mxn pesos], Table1[Month], A47, Table1[APARTMENT], B47)</f>
        <v>42114.2</v>
      </c>
      <c r="D47">
        <f>SUMIFS(INCOME!C:C, INCOME!D:D, Table2[[#This Row],[Apt]], INCOME!J:J, Table2[[#This Row],[Month]])</f>
        <v>16</v>
      </c>
      <c r="E47" s="5">
        <f>SUMIFS(EXPENSES!$D:$D, EXPENSES!$C:$C, B47, EXPENSES!$F:$F, A47, EXPENSES!$E:$E, "Direct")</f>
        <v>43790</v>
      </c>
      <c r="F47" s="18">
        <f t="shared" si="8"/>
        <v>1</v>
      </c>
      <c r="G47" s="5">
        <f>SUMIFS(EXPENSES!D:D, EXPENSES!F:F, Data_Consolidado!A47, EXPENSES!E:E, "Shared")</f>
        <v>12450</v>
      </c>
      <c r="H47" s="5">
        <f>G47*F47</f>
        <v>12450</v>
      </c>
      <c r="I47" s="5">
        <f>E47+H47</f>
        <v>56240</v>
      </c>
      <c r="J47" s="5">
        <f>C47-I47</f>
        <v>-14125.800000000003</v>
      </c>
      <c r="K47" s="18">
        <f>IF(C47=0, "-", (J47/C47))</f>
        <v>-0.33541655783559948</v>
      </c>
      <c r="L47">
        <f>SUMIFS(Reference_Nights[[#All],[Available_nights]], Reference_Nights[[#All],[Month]], Table2[[#This Row],[Month]], Reference_Nights[[#All],[Apt]], Table2[[#This Row],[Apt]])</f>
        <v>28</v>
      </c>
      <c r="M47" s="18">
        <f>IF(Table2[[#This Row],[Available _Nights]]=0, 0, Table2[[#This Row],[Booked_Nights]]/Table2[[#This Row],[Available _Nights]])</f>
        <v>0.5714285714285714</v>
      </c>
      <c r="N47" s="29">
        <f>IF(Table2[[#This Row],[Booked_Nights]]=0, 0, Table2[[#This Row],[Income]]/Table2[[#This Row],[Booked_Nights]])</f>
        <v>2632.1374999999998</v>
      </c>
      <c r="O47" s="29">
        <f>IF(L47=0,0, Table2[[#This Row],[Income]]/Table2[[#This Row],[Available _Nights]])</f>
        <v>1504.0785714285714</v>
      </c>
      <c r="P47" s="30">
        <f>IF(Table2[[#This Row],[Income]]=0,0,Table2[[#This Row],[Total_Exp]]/Table2[[#This Row],[Income]])</f>
        <v>1.3354165578355994</v>
      </c>
    </row>
    <row r="48" spans="1:16" x14ac:dyDescent="0.2">
      <c r="A48" s="13" t="s">
        <v>1105</v>
      </c>
      <c r="B48" t="s">
        <v>295</v>
      </c>
      <c r="C48" s="5">
        <f>SUMIFS(Table1[FULL AMOUNT mxn pesos], Table1[Month], A48, Table1[APARTMENT], B48)</f>
        <v>14252.8</v>
      </c>
      <c r="D48">
        <f>SUMIFS(INCOME!C:C, INCOME!D:D, Table2[[#This Row],[Apt]], INCOME!J:J, Table2[[#This Row],[Month]])</f>
        <v>8</v>
      </c>
      <c r="E48" s="5">
        <f>SUMIFS(EXPENSES!$D:$D, EXPENSES!$C:$C, B48, EXPENSES!$F:$F, A48, EXPENSES!$E:$E, "Direct")</f>
        <v>26460</v>
      </c>
      <c r="F48" s="18">
        <f t="shared" si="8"/>
        <v>8.5936444847479213E-2</v>
      </c>
      <c r="G48" s="5">
        <f>SUMIFS(EXPENSES!D:D, EXPENSES!F:F, Data_Consolidado!A48, EXPENSES!E:E, "Shared")</f>
        <v>5800</v>
      </c>
      <c r="H48" s="5">
        <f t="shared" si="4"/>
        <v>498.43138011537945</v>
      </c>
      <c r="I48" s="5">
        <f t="shared" si="5"/>
        <v>26958.43138011538</v>
      </c>
      <c r="J48" s="5">
        <f t="shared" si="6"/>
        <v>-12705.631380115381</v>
      </c>
      <c r="K48" s="18">
        <f t="shared" si="7"/>
        <v>-0.89144809301438188</v>
      </c>
      <c r="L48">
        <f>SUMIFS(Reference_Nights[[#All],[Available_nights]], Reference_Nights[[#All],[Month]], Table2[[#This Row],[Month]], Reference_Nights[[#All],[Apt]], Table2[[#This Row],[Apt]])</f>
        <v>27</v>
      </c>
      <c r="M48" s="18">
        <f>IF(Table2[[#This Row],[Available _Nights]]=0, 0, Table2[[#This Row],[Booked_Nights]]/Table2[[#This Row],[Available _Nights]])</f>
        <v>0.29629629629629628</v>
      </c>
      <c r="N48" s="29">
        <f>IF(Table2[[#This Row],[Booked_Nights]]=0, 0, Table2[[#This Row],[Income]]/Table2[[#This Row],[Booked_Nights]])</f>
        <v>1781.6</v>
      </c>
      <c r="O48" s="29">
        <f>IF(L48=0,0, Table2[[#This Row],[Income]]/Table2[[#This Row],[Available _Nights]])</f>
        <v>527.8814814814815</v>
      </c>
      <c r="P48" s="30">
        <f>IF(Table2[[#This Row],[Income]]=0,0,Table2[[#This Row],[Total_Exp]]/Table2[[#This Row],[Income]])</f>
        <v>1.8914480930143818</v>
      </c>
    </row>
    <row r="49" spans="1:16" x14ac:dyDescent="0.2">
      <c r="A49" s="13" t="s">
        <v>1105</v>
      </c>
      <c r="B49" t="s">
        <v>296</v>
      </c>
      <c r="C49" s="5">
        <f>SUMIFS(Table1[FULL AMOUNT mxn pesos], Table1[Month], A49, Table1[APARTMENT], B49)</f>
        <v>0</v>
      </c>
      <c r="D49">
        <f>SUMIFS(INCOME!C:C, INCOME!D:D, Table2[[#This Row],[Apt]], INCOME!J:J, Table2[[#This Row],[Month]])</f>
        <v>0</v>
      </c>
      <c r="E49" s="5">
        <f>SUMIFS(EXPENSES!$D:$D, EXPENSES!$C:$C, B49, EXPENSES!$F:$F, A49, EXPENSES!$E:$E, "Direct")</f>
        <v>32400</v>
      </c>
      <c r="F49" s="18">
        <f t="shared" si="8"/>
        <v>0</v>
      </c>
      <c r="G49" s="5">
        <f>SUMIFS(EXPENSES!D:D, EXPENSES!F:F, Data_Consolidado!A49, EXPENSES!E:E, "Shared")</f>
        <v>5800</v>
      </c>
      <c r="H49" s="5">
        <f t="shared" si="4"/>
        <v>0</v>
      </c>
      <c r="I49" s="5">
        <f t="shared" si="5"/>
        <v>32400</v>
      </c>
      <c r="J49" s="5">
        <f>C49-I49</f>
        <v>-32400</v>
      </c>
      <c r="K49" s="18" t="str">
        <f t="shared" si="7"/>
        <v>-</v>
      </c>
      <c r="L49">
        <f>SUMIFS(Reference_Nights[[#All],[Available_nights]], Reference_Nights[[#All],[Month]], Table2[[#This Row],[Month]], Reference_Nights[[#All],[Apt]], Table2[[#This Row],[Apt]])</f>
        <v>27</v>
      </c>
      <c r="M49" s="18">
        <f>IF(Table2[[#This Row],[Available _Nights]]=0, 0, Table2[[#This Row],[Booked_Nights]]/Table2[[#This Row],[Available _Nights]])</f>
        <v>0</v>
      </c>
      <c r="N49" s="29">
        <f>IF(Table2[[#This Row],[Booked_Nights]]=0, 0, Table2[[#This Row],[Income]]/Table2[[#This Row],[Booked_Nights]])</f>
        <v>0</v>
      </c>
      <c r="O49" s="29">
        <f>IF(L49=0,0, Table2[[#This Row],[Income]]/Table2[[#This Row],[Available _Nights]])</f>
        <v>0</v>
      </c>
      <c r="P49" s="30">
        <f>IF(Table2[[#This Row],[Income]]=0,0,Table2[[#This Row],[Total_Exp]]/Table2[[#This Row],[Income]])</f>
        <v>0</v>
      </c>
    </row>
    <row r="50" spans="1:16" x14ac:dyDescent="0.2">
      <c r="A50" s="13" t="s">
        <v>1105</v>
      </c>
      <c r="B50" t="s">
        <v>297</v>
      </c>
      <c r="C50" s="5">
        <f>SUMIFS(Table1[FULL AMOUNT mxn pesos], Table1[Month], A50, Table1[APARTMENT], B50)</f>
        <v>151600</v>
      </c>
      <c r="D50">
        <f>SUMIFS(INCOME!C:C, INCOME!D:D, Table2[[#This Row],[Apt]], INCOME!J:J, Table2[[#This Row],[Month]])</f>
        <v>10</v>
      </c>
      <c r="E50" s="5">
        <f>SUMIFS(EXPENSES!$D:$D, EXPENSES!$C:$C, B50, EXPENSES!$F:$F, A50, EXPENSES!$E:$E, "Direct")</f>
        <v>28600</v>
      </c>
      <c r="F50" s="18">
        <f t="shared" si="8"/>
        <v>0.9140635551525208</v>
      </c>
      <c r="G50" s="5">
        <f>SUMIFS(EXPENSES!D:D, EXPENSES!F:F, Data_Consolidado!A50, EXPENSES!E:E, "Shared")</f>
        <v>5800</v>
      </c>
      <c r="H50" s="5">
        <f>G50*F50</f>
        <v>5301.5686198846206</v>
      </c>
      <c r="I50" s="5">
        <f>E50+H50</f>
        <v>33901.568619884623</v>
      </c>
      <c r="J50" s="5">
        <f>C50-I50</f>
        <v>117698.43138011538</v>
      </c>
      <c r="K50" s="18">
        <f>IF(C50=0, "-", (J50/C50))</f>
        <v>0.77637487717754206</v>
      </c>
      <c r="L50">
        <f>SUMIFS(Reference_Nights[[#All],[Available_nights]], Reference_Nights[[#All],[Month]], Table2[[#This Row],[Month]], Reference_Nights[[#All],[Apt]], Table2[[#This Row],[Apt]])</f>
        <v>27</v>
      </c>
      <c r="M50" s="18">
        <f>IF(Table2[[#This Row],[Available _Nights]]=0, 0, Table2[[#This Row],[Booked_Nights]]/Table2[[#This Row],[Available _Nights]])</f>
        <v>0.37037037037037035</v>
      </c>
      <c r="N50" s="29">
        <f>IF(Table2[[#This Row],[Booked_Nights]]=0, 0, Table2[[#This Row],[Income]]/Table2[[#This Row],[Booked_Nights]])</f>
        <v>15160</v>
      </c>
      <c r="O50" s="29">
        <f>IF(L50=0,0, Table2[[#This Row],[Income]]/Table2[[#This Row],[Available _Nights]])</f>
        <v>5614.8148148148148</v>
      </c>
      <c r="P50" s="30">
        <f>IF(Table2[[#This Row],[Income]]=0,0,Table2[[#This Row],[Total_Exp]]/Table2[[#This Row],[Income]])</f>
        <v>0.22362512282245794</v>
      </c>
    </row>
    <row r="51" spans="1:16" x14ac:dyDescent="0.2">
      <c r="A51" s="13" t="s">
        <v>1106</v>
      </c>
      <c r="B51" t="s">
        <v>295</v>
      </c>
      <c r="C51" s="5">
        <f>SUMIFS(Table1[FULL AMOUNT mxn pesos], Table1[Month], A51, Table1[APARTMENT], B51)</f>
        <v>25843.800000000003</v>
      </c>
      <c r="D51">
        <f>SUMIFS(INCOME!C:C, INCOME!D:D, Table2[[#This Row],[Apt]], INCOME!J:J, Table2[[#This Row],[Month]])</f>
        <v>10</v>
      </c>
      <c r="E51" s="5">
        <f>SUMIFS(EXPENSES!$D:$D, EXPENSES!$C:$C, B51, EXPENSES!$F:$F, A51, EXPENSES!$E:$E, "Direct")</f>
        <v>24750</v>
      </c>
      <c r="F51" s="18">
        <f t="shared" si="8"/>
        <v>1</v>
      </c>
      <c r="G51" s="5">
        <f>SUMIFS(EXPENSES!D:D, EXPENSES!F:F, Data_Consolidado!A51, EXPENSES!E:E, "Shared")</f>
        <v>2300</v>
      </c>
      <c r="H51" s="5">
        <f t="shared" si="4"/>
        <v>2300</v>
      </c>
      <c r="I51" s="5">
        <f t="shared" si="5"/>
        <v>27050</v>
      </c>
      <c r="J51" s="5">
        <f t="shared" si="6"/>
        <v>-1206.1999999999971</v>
      </c>
      <c r="K51" s="18">
        <f t="shared" si="7"/>
        <v>-4.667270293068345E-2</v>
      </c>
      <c r="L51">
        <f>SUMIFS(Reference_Nights[[#All],[Available_nights]], Reference_Nights[[#All],[Month]], Table2[[#This Row],[Month]], Reference_Nights[[#All],[Apt]], Table2[[#This Row],[Apt]])</f>
        <v>28</v>
      </c>
      <c r="M51" s="18">
        <f>IF(Table2[[#This Row],[Available _Nights]]=0, 0, Table2[[#This Row],[Booked_Nights]]/Table2[[#This Row],[Available _Nights]])</f>
        <v>0.35714285714285715</v>
      </c>
      <c r="N51" s="29">
        <f>IF(Table2[[#This Row],[Booked_Nights]]=0, 0, Table2[[#This Row],[Income]]/Table2[[#This Row],[Booked_Nights]])</f>
        <v>2584.38</v>
      </c>
      <c r="O51" s="29">
        <f>IF(L51=0,0, Table2[[#This Row],[Income]]/Table2[[#This Row],[Available _Nights]])</f>
        <v>922.99285714285725</v>
      </c>
      <c r="P51" s="30">
        <f>IF(Table2[[#This Row],[Income]]=0,0,Table2[[#This Row],[Total_Exp]]/Table2[[#This Row],[Income]])</f>
        <v>1.0466727029306835</v>
      </c>
    </row>
    <row r="52" spans="1:16" x14ac:dyDescent="0.2">
      <c r="A52" s="13" t="s">
        <v>1106</v>
      </c>
      <c r="B52" t="s">
        <v>296</v>
      </c>
      <c r="C52" s="5">
        <f>SUMIFS(Table1[FULL AMOUNT mxn pesos], Table1[Month], A52, Table1[APARTMENT], B52)</f>
        <v>0</v>
      </c>
      <c r="D52">
        <f>SUMIFS(INCOME!C:C, INCOME!D:D, Table2[[#This Row],[Apt]], INCOME!J:J, Table2[[#This Row],[Month]])</f>
        <v>0</v>
      </c>
      <c r="E52" s="5">
        <f>SUMIFS(EXPENSES!$D:$D, EXPENSES!$C:$C, B52, EXPENSES!$F:$F, A52, EXPENSES!$E:$E, "Direct")</f>
        <v>18000</v>
      </c>
      <c r="F52" s="18">
        <f t="shared" si="8"/>
        <v>0</v>
      </c>
      <c r="G52" s="5">
        <f>SUMIFS(EXPENSES!D:D, EXPENSES!F:F, Data_Consolidado!A52, EXPENSES!E:E, "Shared")</f>
        <v>2300</v>
      </c>
      <c r="H52" s="5">
        <f>G52*F52</f>
        <v>0</v>
      </c>
      <c r="I52" s="5">
        <f t="shared" si="5"/>
        <v>18000</v>
      </c>
      <c r="J52" s="5">
        <f t="shared" si="6"/>
        <v>-18000</v>
      </c>
      <c r="K52" s="18" t="str">
        <f t="shared" si="7"/>
        <v>-</v>
      </c>
      <c r="L52">
        <f>SUMIFS(Reference_Nights[[#All],[Available_nights]], Reference_Nights[[#All],[Month]], Table2[[#This Row],[Month]], Reference_Nights[[#All],[Apt]], Table2[[#This Row],[Apt]])</f>
        <v>28</v>
      </c>
      <c r="M52" s="18">
        <f>IF(Table2[[#This Row],[Available _Nights]]=0, 0, Table2[[#This Row],[Booked_Nights]]/Table2[[#This Row],[Available _Nights]])</f>
        <v>0</v>
      </c>
      <c r="N52" s="29">
        <f>IF(Table2[[#This Row],[Booked_Nights]]=0, 0, Table2[[#This Row],[Income]]/Table2[[#This Row],[Booked_Nights]])</f>
        <v>0</v>
      </c>
      <c r="O52" s="29">
        <f>IF(L52=0,0, Table2[[#This Row],[Income]]/Table2[[#This Row],[Available _Nights]])</f>
        <v>0</v>
      </c>
      <c r="P52" s="30">
        <f>IF(Table2[[#This Row],[Income]]=0,0,Table2[[#This Row],[Total_Exp]]/Table2[[#This Row],[Income]])</f>
        <v>0</v>
      </c>
    </row>
    <row r="53" spans="1:16" x14ac:dyDescent="0.2">
      <c r="A53" s="13" t="s">
        <v>1106</v>
      </c>
      <c r="B53" t="s">
        <v>297</v>
      </c>
      <c r="C53" s="5">
        <f>SUMIFS(Table1[FULL AMOUNT mxn pesos], Table1[Month], A53, Table1[APARTMENT], B53)</f>
        <v>0</v>
      </c>
      <c r="D53">
        <f>SUMIFS(INCOME!C:C, INCOME!D:D, Table2[[#This Row],[Apt]], INCOME!J:J, Table2[[#This Row],[Month]])</f>
        <v>0</v>
      </c>
      <c r="E53" s="5">
        <f>SUMIFS(EXPENSES!$D:$D, EXPENSES!$C:$C, B53, EXPENSES!$F:$F, A53, EXPENSES!$E:$E, "Direct")</f>
        <v>20000</v>
      </c>
      <c r="F53" s="18">
        <f t="shared" si="8"/>
        <v>0</v>
      </c>
      <c r="G53" s="5">
        <f>SUMIFS(EXPENSES!D:D, EXPENSES!F:F, Data_Consolidado!A53, EXPENSES!E:E, "Shared")</f>
        <v>2300</v>
      </c>
      <c r="H53" s="5">
        <f>G53*F53</f>
        <v>0</v>
      </c>
      <c r="I53" s="5">
        <f>E53+H53</f>
        <v>20000</v>
      </c>
      <c r="J53" s="5">
        <f>C53-I53</f>
        <v>-20000</v>
      </c>
      <c r="K53" s="18" t="str">
        <f>IF(C53=0, "-", (J53/C53))</f>
        <v>-</v>
      </c>
      <c r="L53">
        <f>SUMIFS(Reference_Nights[[#All],[Available_nights]], Reference_Nights[[#All],[Month]], Table2[[#This Row],[Month]], Reference_Nights[[#All],[Apt]], Table2[[#This Row],[Apt]])</f>
        <v>28</v>
      </c>
      <c r="M53" s="18">
        <f>IF(Table2[[#This Row],[Available _Nights]]=0, 0, Table2[[#This Row],[Booked_Nights]]/Table2[[#This Row],[Available _Nights]])</f>
        <v>0</v>
      </c>
      <c r="N53" s="29">
        <f>IF(Table2[[#This Row],[Booked_Nights]]=0, 0, Table2[[#This Row],[Income]]/Table2[[#This Row],[Booked_Nights]])</f>
        <v>0</v>
      </c>
      <c r="O53" s="29">
        <f>IF(L53=0,0, Table2[[#This Row],[Income]]/Table2[[#This Row],[Available _Nights]])</f>
        <v>0</v>
      </c>
      <c r="P53" s="30">
        <f>IF(Table2[[#This Row],[Income]]=0,0,Table2[[#This Row],[Total_Exp]]/Table2[[#This Row],[Income]])</f>
        <v>0</v>
      </c>
    </row>
    <row r="54" spans="1:16" x14ac:dyDescent="0.2">
      <c r="A54" s="13" t="s">
        <v>1107</v>
      </c>
      <c r="B54" t="s">
        <v>295</v>
      </c>
      <c r="C54" s="5">
        <f>SUMIFS(Table1[FULL AMOUNT mxn pesos], Table1[Month], A54, Table1[APARTMENT], B54)</f>
        <v>0</v>
      </c>
      <c r="D54">
        <f>SUMIFS(INCOME!C:C, INCOME!D:D, Table2[[#This Row],[Apt]], INCOME!J:J, Table2[[#This Row],[Month]])</f>
        <v>0</v>
      </c>
      <c r="E54" s="5">
        <f>SUMIFS(EXPENSES!$D:$D, EXPENSES!$C:$C, B54, EXPENSES!$F:$F, A54, EXPENSES!$E:$E, "Direct")</f>
        <v>37550</v>
      </c>
      <c r="F54" s="18">
        <f t="shared" si="8"/>
        <v>0</v>
      </c>
      <c r="G54" s="5">
        <f>SUMIFS(EXPENSES!D:D, EXPENSES!F:F, Data_Consolidado!A54, EXPENSES!E:E, "Shared")</f>
        <v>8945</v>
      </c>
      <c r="H54" s="5">
        <f>Table2[[#This Row],[Shared_Total]]/3</f>
        <v>2981.6666666666665</v>
      </c>
      <c r="I54" s="5">
        <f t="shared" si="5"/>
        <v>40531.666666666664</v>
      </c>
      <c r="J54" s="5">
        <f t="shared" si="6"/>
        <v>-40531.666666666664</v>
      </c>
      <c r="K54" s="18" t="str">
        <f t="shared" si="7"/>
        <v>-</v>
      </c>
      <c r="L54">
        <f>SUMIFS(Reference_Nights[[#All],[Available_nights]], Reference_Nights[[#All],[Month]], Table2[[#This Row],[Month]], Reference_Nights[[#All],[Apt]], Table2[[#This Row],[Apt]])</f>
        <v>28</v>
      </c>
      <c r="M54" s="18">
        <f>IF(Table2[[#This Row],[Available _Nights]]=0, 0, Table2[[#This Row],[Booked_Nights]]/Table2[[#This Row],[Available _Nights]])</f>
        <v>0</v>
      </c>
      <c r="N54" s="29">
        <f>IF(Table2[[#This Row],[Booked_Nights]]=0, 0, Table2[[#This Row],[Income]]/Table2[[#This Row],[Booked_Nights]])</f>
        <v>0</v>
      </c>
      <c r="O54" s="29">
        <f>IF(L54=0,0, Table2[[#This Row],[Income]]/Table2[[#This Row],[Available _Nights]])</f>
        <v>0</v>
      </c>
      <c r="P54" s="30">
        <f>IF(Table2[[#This Row],[Income]]=0,0,Table2[[#This Row],[Total_Exp]]/Table2[[#This Row],[Income]])</f>
        <v>0</v>
      </c>
    </row>
    <row r="55" spans="1:16" x14ac:dyDescent="0.2">
      <c r="A55" s="13" t="s">
        <v>1107</v>
      </c>
      <c r="B55" t="s">
        <v>296</v>
      </c>
      <c r="C55" s="5">
        <f>SUMIFS(Table1[FULL AMOUNT mxn pesos], Table1[Month], A55, Table1[APARTMENT], B55)</f>
        <v>0</v>
      </c>
      <c r="D55">
        <f>SUMIFS(INCOME!C:C, INCOME!D:D, Table2[[#This Row],[Apt]], INCOME!J:J, Table2[[#This Row],[Month]])</f>
        <v>0</v>
      </c>
      <c r="E55" s="5">
        <f>SUMIFS(EXPENSES!$D:$D, EXPENSES!$C:$C, B55, EXPENSES!$F:$F, A55, EXPENSES!$E:$E, "Direct")</f>
        <v>25000</v>
      </c>
      <c r="F55" s="18">
        <f t="shared" si="8"/>
        <v>0</v>
      </c>
      <c r="G55" s="5">
        <f>SUMIFS(EXPENSES!D:D, EXPENSES!F:F, Data_Consolidado!A55, EXPENSES!E:E, "Shared")</f>
        <v>8945</v>
      </c>
      <c r="H55" s="5">
        <f>Table2[[#This Row],[Shared_Total]]/3</f>
        <v>2981.6666666666665</v>
      </c>
      <c r="I55" s="5">
        <f t="shared" si="5"/>
        <v>27981.666666666668</v>
      </c>
      <c r="J55" s="5">
        <f t="shared" si="6"/>
        <v>-27981.666666666668</v>
      </c>
      <c r="K55" s="18" t="str">
        <f t="shared" si="7"/>
        <v>-</v>
      </c>
      <c r="L55">
        <f>SUMIFS(Reference_Nights[[#All],[Available_nights]], Reference_Nights[[#All],[Month]], Table2[[#This Row],[Month]], Reference_Nights[[#All],[Apt]], Table2[[#This Row],[Apt]])</f>
        <v>28</v>
      </c>
      <c r="M55" s="18">
        <f>IF(Table2[[#This Row],[Available _Nights]]=0, 0, Table2[[#This Row],[Booked_Nights]]/Table2[[#This Row],[Available _Nights]])</f>
        <v>0</v>
      </c>
      <c r="N55" s="29">
        <f>IF(Table2[[#This Row],[Booked_Nights]]=0, 0, Table2[[#This Row],[Income]]/Table2[[#This Row],[Booked_Nights]])</f>
        <v>0</v>
      </c>
      <c r="O55" s="29">
        <f>IF(L55=0,0, Table2[[#This Row],[Income]]/Table2[[#This Row],[Available _Nights]])</f>
        <v>0</v>
      </c>
      <c r="P55" s="30">
        <f>IF(Table2[[#This Row],[Income]]=0,0,Table2[[#This Row],[Total_Exp]]/Table2[[#This Row],[Income]])</f>
        <v>0</v>
      </c>
    </row>
    <row r="56" spans="1:16" x14ac:dyDescent="0.2">
      <c r="A56" s="13" t="s">
        <v>1107</v>
      </c>
      <c r="B56" t="s">
        <v>297</v>
      </c>
      <c r="C56" s="5">
        <f>SUMIFS(Table1[FULL AMOUNT mxn pesos], Table1[Month], A56, Table1[APARTMENT], B56)</f>
        <v>0</v>
      </c>
      <c r="D56">
        <f>SUMIFS(INCOME!C:C, INCOME!D:D, Table2[[#This Row],[Apt]], INCOME!J:J, Table2[[#This Row],[Month]])</f>
        <v>0</v>
      </c>
      <c r="E56" s="5">
        <f>SUMIFS(EXPENSES!$D:$D, EXPENSES!$C:$C, B56, EXPENSES!$F:$F, A56, EXPENSES!$E:$E, "Direct")</f>
        <v>30000</v>
      </c>
      <c r="F56" s="18">
        <f t="shared" si="8"/>
        <v>0</v>
      </c>
      <c r="G56" s="5">
        <f>SUMIFS(EXPENSES!D:D, EXPENSES!F:F, Data_Consolidado!A56, EXPENSES!E:E, "Shared")</f>
        <v>8945</v>
      </c>
      <c r="H56" s="5">
        <f>Table2[[#This Row],[Shared_Total]]/3</f>
        <v>2981.6666666666665</v>
      </c>
      <c r="I56" s="5">
        <f>E56+H56</f>
        <v>32981.666666666664</v>
      </c>
      <c r="J56" s="5">
        <f>C56-I56</f>
        <v>-32981.666666666664</v>
      </c>
      <c r="K56" s="18" t="str">
        <f>IF(C56=0, "-", (J56/C56))</f>
        <v>-</v>
      </c>
      <c r="L56">
        <f>SUMIFS(Reference_Nights[[#All],[Available_nights]], Reference_Nights[[#All],[Month]], Table2[[#This Row],[Month]], Reference_Nights[[#All],[Apt]], Table2[[#This Row],[Apt]])</f>
        <v>28</v>
      </c>
      <c r="M56" s="18">
        <f>IF(Table2[[#This Row],[Available _Nights]]=0, 0, Table2[[#This Row],[Booked_Nights]]/Table2[[#This Row],[Available _Nights]])</f>
        <v>0</v>
      </c>
      <c r="N56" s="29">
        <f>IF(Table2[[#This Row],[Booked_Nights]]=0, 0, Table2[[#This Row],[Income]]/Table2[[#This Row],[Booked_Nights]])</f>
        <v>0</v>
      </c>
      <c r="O56" s="29">
        <f>IF(L56=0,0, Table2[[#This Row],[Income]]/Table2[[#This Row],[Available _Nights]])</f>
        <v>0</v>
      </c>
      <c r="P56" s="30">
        <f>IF(Table2[[#This Row],[Income]]=0,0,Table2[[#This Row],[Total_Exp]]/Table2[[#This Row],[Income]])</f>
        <v>0</v>
      </c>
    </row>
    <row r="57" spans="1:16" x14ac:dyDescent="0.2">
      <c r="A57" s="13" t="s">
        <v>1108</v>
      </c>
      <c r="B57" t="s">
        <v>295</v>
      </c>
      <c r="C57" s="5">
        <f>SUMIFS(Table1[FULL AMOUNT mxn pesos], Table1[Month], A57, Table1[APARTMENT], B57)</f>
        <v>4760</v>
      </c>
      <c r="D57">
        <f>SUMIFS(INCOME!C:C, INCOME!D:D, Table2[[#This Row],[Apt]], INCOME!J:J, Table2[[#This Row],[Month]])</f>
        <v>4</v>
      </c>
      <c r="E57" s="5">
        <f>SUMIFS(EXPENSES!$D:$D, EXPENSES!$C:$C, B57, EXPENSES!$F:$F, A57, EXPENSES!$E:$E, "Direct")</f>
        <v>40460</v>
      </c>
      <c r="F57" s="18">
        <f t="shared" si="8"/>
        <v>3.4303833957912942E-2</v>
      </c>
      <c r="G57" s="5">
        <f>SUMIFS(EXPENSES!D:D, EXPENSES!F:F, Data_Consolidado!A57, EXPENSES!E:E, "Shared")</f>
        <v>18038</v>
      </c>
      <c r="H57" s="5">
        <f t="shared" si="4"/>
        <v>618.77255693283371</v>
      </c>
      <c r="I57" s="5">
        <f t="shared" si="5"/>
        <v>41078.772556932832</v>
      </c>
      <c r="J57" s="5">
        <f t="shared" si="6"/>
        <v>-36318.772556932832</v>
      </c>
      <c r="K57" s="18">
        <f t="shared" si="7"/>
        <v>-7.6299942346497547</v>
      </c>
      <c r="L57">
        <f>SUMIFS(Reference_Nights[[#All],[Available_nights]], Reference_Nights[[#All],[Month]], Table2[[#This Row],[Month]], Reference_Nights[[#All],[Apt]], Table2[[#This Row],[Apt]])</f>
        <v>27</v>
      </c>
      <c r="M57" s="18">
        <f>IF(Table2[[#This Row],[Available _Nights]]=0, 0, Table2[[#This Row],[Booked_Nights]]/Table2[[#This Row],[Available _Nights]])</f>
        <v>0.14814814814814814</v>
      </c>
      <c r="N57" s="29">
        <f>IF(Table2[[#This Row],[Booked_Nights]]=0, 0, Table2[[#This Row],[Income]]/Table2[[#This Row],[Booked_Nights]])</f>
        <v>1190</v>
      </c>
      <c r="O57" s="29">
        <f>IF(L57=0,0, Table2[[#This Row],[Income]]/Table2[[#This Row],[Available _Nights]])</f>
        <v>176.2962962962963</v>
      </c>
      <c r="P57" s="30">
        <f>IF(Table2[[#This Row],[Income]]=0,0,Table2[[#This Row],[Total_Exp]]/Table2[[#This Row],[Income]])</f>
        <v>8.6299942346497538</v>
      </c>
    </row>
    <row r="58" spans="1:16" x14ac:dyDescent="0.2">
      <c r="A58" s="13" t="s">
        <v>1108</v>
      </c>
      <c r="B58" t="s">
        <v>296</v>
      </c>
      <c r="C58" s="5">
        <f>SUMIFS(Table1[FULL AMOUNT mxn pesos], Table1[Month], A58, Table1[APARTMENT], B58)</f>
        <v>134000</v>
      </c>
      <c r="D58">
        <f>SUMIFS(INCOME!C:C, INCOME!D:D, Table2[[#This Row],[Apt]], INCOME!J:J, Table2[[#This Row],[Month]])</f>
        <v>2</v>
      </c>
      <c r="E58" s="5">
        <f>SUMIFS(EXPENSES!$D:$D, EXPENSES!$C:$C, B58, EXPENSES!$F:$F, A58, EXPENSES!$E:$E, "Direct")</f>
        <v>21050</v>
      </c>
      <c r="F58" s="18">
        <f t="shared" si="8"/>
        <v>0.96569616604208708</v>
      </c>
      <c r="G58" s="5">
        <f>SUMIFS(EXPENSES!D:D, EXPENSES!F:F, Data_Consolidado!A58, EXPENSES!E:E, "Shared")</f>
        <v>18038</v>
      </c>
      <c r="H58" s="5">
        <f t="shared" si="4"/>
        <v>17419.227443067168</v>
      </c>
      <c r="I58" s="5">
        <f t="shared" si="5"/>
        <v>38469.227443067168</v>
      </c>
      <c r="J58" s="5">
        <f t="shared" si="6"/>
        <v>95530.772556932832</v>
      </c>
      <c r="K58" s="18">
        <f t="shared" si="7"/>
        <v>0.71291621311143905</v>
      </c>
      <c r="L58">
        <f>SUMIFS(Reference_Nights[[#All],[Available_nights]], Reference_Nights[[#All],[Month]], Table2[[#This Row],[Month]], Reference_Nights[[#All],[Apt]], Table2[[#This Row],[Apt]])</f>
        <v>27</v>
      </c>
      <c r="M58" s="18">
        <f>IF(Table2[[#This Row],[Available _Nights]]=0, 0, Table2[[#This Row],[Booked_Nights]]/Table2[[#This Row],[Available _Nights]])</f>
        <v>7.407407407407407E-2</v>
      </c>
      <c r="N58" s="29">
        <f>IF(Table2[[#This Row],[Booked_Nights]]=0, 0, Table2[[#This Row],[Income]]/Table2[[#This Row],[Booked_Nights]])</f>
        <v>67000</v>
      </c>
      <c r="O58" s="29">
        <f>IF(L58=0,0, Table2[[#This Row],[Income]]/Table2[[#This Row],[Available _Nights]])</f>
        <v>4962.9629629629626</v>
      </c>
      <c r="P58" s="30">
        <f>IF(Table2[[#This Row],[Income]]=0,0,Table2[[#This Row],[Total_Exp]]/Table2[[#This Row],[Income]])</f>
        <v>0.28708378688856095</v>
      </c>
    </row>
    <row r="59" spans="1:16" x14ac:dyDescent="0.2">
      <c r="A59" s="13" t="s">
        <v>1108</v>
      </c>
      <c r="B59" t="s">
        <v>297</v>
      </c>
      <c r="C59" s="5">
        <f>SUMIFS(Table1[FULL AMOUNT mxn pesos], Table1[Month], A59, Table1[APARTMENT], B59)</f>
        <v>0</v>
      </c>
      <c r="D59">
        <f>SUMIFS(INCOME!C:C, INCOME!D:D, Table2[[#This Row],[Apt]], INCOME!J:J, Table2[[#This Row],[Month]])</f>
        <v>0</v>
      </c>
      <c r="E59" s="5">
        <f>SUMIFS(EXPENSES!$D:$D, EXPENSES!$C:$C, B59, EXPENSES!$F:$F, A59, EXPENSES!$E:$E, "Direct")</f>
        <v>43820</v>
      </c>
      <c r="F59" s="18">
        <f t="shared" si="8"/>
        <v>0</v>
      </c>
      <c r="G59" s="5">
        <f>SUMIFS(EXPENSES!D:D, EXPENSES!F:F, Data_Consolidado!A59, EXPENSES!E:E, "Shared")</f>
        <v>18038</v>
      </c>
      <c r="H59" s="5">
        <f>G59*F59</f>
        <v>0</v>
      </c>
      <c r="I59" s="5">
        <f>E59+H59</f>
        <v>43820</v>
      </c>
      <c r="J59" s="5">
        <f>C59-I59</f>
        <v>-43820</v>
      </c>
      <c r="K59" s="18" t="str">
        <f>IF(C59=0, "-", (J59/C59))</f>
        <v>-</v>
      </c>
      <c r="L59">
        <f>SUMIFS(Reference_Nights[[#All],[Available_nights]], Reference_Nights[[#All],[Month]], Table2[[#This Row],[Month]], Reference_Nights[[#All],[Apt]], Table2[[#This Row],[Apt]])</f>
        <v>27</v>
      </c>
      <c r="M59" s="18">
        <f>IF(Table2[[#This Row],[Available _Nights]]=0, 0, Table2[[#This Row],[Booked_Nights]]/Table2[[#This Row],[Available _Nights]])</f>
        <v>0</v>
      </c>
      <c r="N59" s="29">
        <f>IF(Table2[[#This Row],[Booked_Nights]]=0, 0, Table2[[#This Row],[Income]]/Table2[[#This Row],[Booked_Nights]])</f>
        <v>0</v>
      </c>
      <c r="O59" s="29">
        <f>IF(L59=0,0, Table2[[#This Row],[Income]]/Table2[[#This Row],[Available _Nights]])</f>
        <v>0</v>
      </c>
      <c r="P59" s="30">
        <f>IF(Table2[[#This Row],[Income]]=0,0,Table2[[#This Row],[Total_Exp]]/Table2[[#This Row],[Income]])</f>
        <v>0</v>
      </c>
    </row>
    <row r="60" spans="1:16" x14ac:dyDescent="0.2">
      <c r="A60" s="13" t="s">
        <v>1109</v>
      </c>
      <c r="B60" t="s">
        <v>295</v>
      </c>
      <c r="C60" s="5">
        <f>SUMIFS(Table1[FULL AMOUNT mxn pesos], Table1[Month], A60, Table1[APARTMENT], B60)</f>
        <v>17400</v>
      </c>
      <c r="D60">
        <f>SUMIFS(INCOME!C:C, INCOME!D:D, Table2[[#This Row],[Apt]], INCOME!J:J, Table2[[#This Row],[Month]])</f>
        <v>11</v>
      </c>
      <c r="E60" s="5">
        <f>SUMIFS(EXPENSES!$D:$D, EXPENSES!$C:$C, B60, EXPENSES!$F:$F, A60, EXPENSES!$E:$E, "Direct")</f>
        <v>44250</v>
      </c>
      <c r="F60" s="18">
        <f t="shared" si="8"/>
        <v>0.10405453893074991</v>
      </c>
      <c r="G60" s="5">
        <f>SUMIFS(EXPENSES!D:D, EXPENSES!F:F, Data_Consolidado!A60, EXPENSES!E:E, "Shared")</f>
        <v>13055</v>
      </c>
      <c r="H60" s="5">
        <f t="shared" si="4"/>
        <v>1358.43200574094</v>
      </c>
      <c r="I60" s="5">
        <f t="shared" si="5"/>
        <v>45608.432005740942</v>
      </c>
      <c r="J60" s="5">
        <f t="shared" si="6"/>
        <v>-28208.432005740942</v>
      </c>
      <c r="K60" s="18">
        <f t="shared" si="7"/>
        <v>-1.6211742532035025</v>
      </c>
      <c r="L60">
        <f>SUMIFS(Reference_Nights[[#All],[Available_nights]], Reference_Nights[[#All],[Month]], Table2[[#This Row],[Month]], Reference_Nights[[#All],[Apt]], Table2[[#This Row],[Apt]])</f>
        <v>28</v>
      </c>
      <c r="M60" s="18">
        <f>IF(Table2[[#This Row],[Available _Nights]]=0, 0, Table2[[#This Row],[Booked_Nights]]/Table2[[#This Row],[Available _Nights]])</f>
        <v>0.39285714285714285</v>
      </c>
      <c r="N60" s="29">
        <f>IF(Table2[[#This Row],[Booked_Nights]]=0, 0, Table2[[#This Row],[Income]]/Table2[[#This Row],[Booked_Nights]])</f>
        <v>1581.8181818181818</v>
      </c>
      <c r="O60" s="29">
        <f>IF(L60=0,0, Table2[[#This Row],[Income]]/Table2[[#This Row],[Available _Nights]])</f>
        <v>621.42857142857144</v>
      </c>
      <c r="P60" s="30">
        <f>IF(Table2[[#This Row],[Income]]=0,0,Table2[[#This Row],[Total_Exp]]/Table2[[#This Row],[Income]])</f>
        <v>2.6211742532035025</v>
      </c>
    </row>
    <row r="61" spans="1:16" x14ac:dyDescent="0.2">
      <c r="A61" s="13" t="s">
        <v>1109</v>
      </c>
      <c r="B61" t="s">
        <v>296</v>
      </c>
      <c r="C61" s="5">
        <f>SUMIFS(Table1[FULL AMOUNT mxn pesos], Table1[Month], A61, Table1[APARTMENT], B61)</f>
        <v>0</v>
      </c>
      <c r="D61">
        <f>SUMIFS(INCOME!C:C, INCOME!D:D, Table2[[#This Row],[Apt]], INCOME!J:J, Table2[[#This Row],[Month]])</f>
        <v>0</v>
      </c>
      <c r="E61" s="5">
        <f>SUMIFS(EXPENSES!$D:$D, EXPENSES!$C:$C, B61, EXPENSES!$F:$F, A61, EXPENSES!$E:$E, "Direct")</f>
        <v>19000</v>
      </c>
      <c r="F61" s="18">
        <f t="shared" si="8"/>
        <v>0</v>
      </c>
      <c r="G61" s="5">
        <f>SUMIFS(EXPENSES!D:D, EXPENSES!F:F, Data_Consolidado!A61, EXPENSES!E:E, "Shared")</f>
        <v>13055</v>
      </c>
      <c r="H61" s="5">
        <f t="shared" si="4"/>
        <v>0</v>
      </c>
      <c r="I61" s="5">
        <f t="shared" si="5"/>
        <v>19000</v>
      </c>
      <c r="J61" s="5">
        <f t="shared" si="6"/>
        <v>-19000</v>
      </c>
      <c r="K61" s="18" t="str">
        <f t="shared" si="7"/>
        <v>-</v>
      </c>
      <c r="L61">
        <f>SUMIFS(Reference_Nights[[#All],[Available_nights]], Reference_Nights[[#All],[Month]], Table2[[#This Row],[Month]], Reference_Nights[[#All],[Apt]], Table2[[#This Row],[Apt]])</f>
        <v>28</v>
      </c>
      <c r="M61" s="18">
        <f>IF(Table2[[#This Row],[Available _Nights]]=0, 0, Table2[[#This Row],[Booked_Nights]]/Table2[[#This Row],[Available _Nights]])</f>
        <v>0</v>
      </c>
      <c r="N61" s="29">
        <f>IF(Table2[[#This Row],[Booked_Nights]]=0, 0, Table2[[#This Row],[Income]]/Table2[[#This Row],[Booked_Nights]])</f>
        <v>0</v>
      </c>
      <c r="O61" s="29">
        <f>IF(L61=0,0, Table2[[#This Row],[Income]]/Table2[[#This Row],[Available _Nights]])</f>
        <v>0</v>
      </c>
      <c r="P61" s="30">
        <f>IF(Table2[[#This Row],[Income]]=0,0,Table2[[#This Row],[Total_Exp]]/Table2[[#This Row],[Income]])</f>
        <v>0</v>
      </c>
    </row>
    <row r="62" spans="1:16" x14ac:dyDescent="0.2">
      <c r="A62" s="13" t="s">
        <v>1109</v>
      </c>
      <c r="B62" t="s">
        <v>297</v>
      </c>
      <c r="C62" s="5">
        <f>SUMIFS(Table1[FULL AMOUNT mxn pesos], Table1[Month], A62, Table1[APARTMENT], B62)</f>
        <v>149820</v>
      </c>
      <c r="D62">
        <f>SUMIFS(INCOME!C:C, INCOME!D:D, Table2[[#This Row],[Apt]], INCOME!J:J, Table2[[#This Row],[Month]])</f>
        <v>11</v>
      </c>
      <c r="E62" s="5">
        <f>SUMIFS(EXPENSES!$D:$D, EXPENSES!$C:$C, B62, EXPENSES!$F:$F, A62, EXPENSES!$E:$E, "Direct")</f>
        <v>44340</v>
      </c>
      <c r="F62" s="18">
        <f t="shared" si="8"/>
        <v>0.8959454610692501</v>
      </c>
      <c r="G62" s="5">
        <f>SUMIFS(EXPENSES!D:D, EXPENSES!F:F, Data_Consolidado!A62, EXPENSES!E:E, "Shared")</f>
        <v>13055</v>
      </c>
      <c r="H62" s="5">
        <f>G62*F62</f>
        <v>11696.56799425906</v>
      </c>
      <c r="I62" s="5">
        <f>E62+H62</f>
        <v>56036.567994259058</v>
      </c>
      <c r="J62" s="5">
        <f>C62-I62</f>
        <v>93783.432005740935</v>
      </c>
      <c r="K62" s="18">
        <f>IF(C62=0, "-", (J62/C62))</f>
        <v>0.62597404889694919</v>
      </c>
      <c r="L62">
        <f>SUMIFS(Reference_Nights[[#All],[Available_nights]], Reference_Nights[[#All],[Month]], Table2[[#This Row],[Month]], Reference_Nights[[#All],[Apt]], Table2[[#This Row],[Apt]])</f>
        <v>28</v>
      </c>
      <c r="M62" s="18">
        <f>IF(Table2[[#This Row],[Available _Nights]]=0, 0, Table2[[#This Row],[Booked_Nights]]/Table2[[#This Row],[Available _Nights]])</f>
        <v>0.39285714285714285</v>
      </c>
      <c r="N62" s="29">
        <f>IF(Table2[[#This Row],[Booked_Nights]]=0, 0, Table2[[#This Row],[Income]]/Table2[[#This Row],[Booked_Nights]])</f>
        <v>13620</v>
      </c>
      <c r="O62" s="29">
        <f>IF(L62=0,0, Table2[[#This Row],[Income]]/Table2[[#This Row],[Available _Nights]])</f>
        <v>5350.7142857142853</v>
      </c>
      <c r="P62" s="30">
        <f>IF(Table2[[#This Row],[Income]]=0,0,Table2[[#This Row],[Total_Exp]]/Table2[[#This Row],[Income]])</f>
        <v>0.3740259511030507</v>
      </c>
    </row>
    <row r="63" spans="1:16" x14ac:dyDescent="0.2">
      <c r="A63" s="13" t="s">
        <v>1110</v>
      </c>
      <c r="B63" t="s">
        <v>295</v>
      </c>
      <c r="C63" s="5">
        <f>SUMIFS(Table1[FULL AMOUNT mxn pesos], Table1[Month], A63, Table1[APARTMENT], B63)</f>
        <v>41410.199999999997</v>
      </c>
      <c r="D63">
        <f>SUMIFS(INCOME!C:C, INCOME!D:D, Table2[[#This Row],[Apt]], INCOME!J:J, Table2[[#This Row],[Month]])</f>
        <v>42</v>
      </c>
      <c r="E63" s="5">
        <f>SUMIFS(EXPENSES!$D:$D, EXPENSES!$C:$C, B63, EXPENSES!$F:$F, A63, EXPENSES!$E:$E, "Direct")</f>
        <v>37800</v>
      </c>
      <c r="F63" s="18">
        <f t="shared" si="8"/>
        <v>0.39420940500465507</v>
      </c>
      <c r="G63" s="5">
        <f>SUMIFS(EXPENSES!D:D, EXPENSES!F:F, Data_Consolidado!A63, EXPENSES!E:E, "Shared")</f>
        <v>5518</v>
      </c>
      <c r="H63" s="5">
        <f t="shared" si="4"/>
        <v>2175.2474968156866</v>
      </c>
      <c r="I63" s="5">
        <f t="shared" si="5"/>
        <v>39975.247496815689</v>
      </c>
      <c r="J63" s="5">
        <f t="shared" si="6"/>
        <v>1434.9525031843077</v>
      </c>
      <c r="K63" s="18">
        <f t="shared" si="7"/>
        <v>3.4652150996235413E-2</v>
      </c>
      <c r="L63">
        <f>SUMIFS(Reference_Nights[[#All],[Available_nights]], Reference_Nights[[#All],[Month]], Table2[[#This Row],[Month]], Reference_Nights[[#All],[Apt]], Table2[[#This Row],[Apt]])</f>
        <v>27</v>
      </c>
      <c r="M63" s="18">
        <f>IF(Table2[[#This Row],[Available _Nights]]=0, 0, Table2[[#This Row],[Booked_Nights]]/Table2[[#This Row],[Available _Nights]])</f>
        <v>1.5555555555555556</v>
      </c>
      <c r="N63" s="29">
        <f>IF(Table2[[#This Row],[Booked_Nights]]=0, 0, Table2[[#This Row],[Income]]/Table2[[#This Row],[Booked_Nights]])</f>
        <v>985.9571428571428</v>
      </c>
      <c r="O63" s="29">
        <f>IF(L63=0,0, Table2[[#This Row],[Income]]/Table2[[#This Row],[Available _Nights]])</f>
        <v>1533.711111111111</v>
      </c>
      <c r="P63" s="30">
        <f>IF(Table2[[#This Row],[Income]]=0,0,Table2[[#This Row],[Total_Exp]]/Table2[[#This Row],[Income]])</f>
        <v>0.96534784900376458</v>
      </c>
    </row>
    <row r="64" spans="1:16" x14ac:dyDescent="0.2">
      <c r="A64" s="13" t="s">
        <v>1110</v>
      </c>
      <c r="B64" t="s">
        <v>296</v>
      </c>
      <c r="C64" s="5">
        <f>SUMIFS(Table1[FULL AMOUNT mxn pesos], Table1[Month], A64, Table1[APARTMENT], B64)</f>
        <v>0</v>
      </c>
      <c r="D64">
        <f>SUMIFS(INCOME!C:C, INCOME!D:D, Table2[[#This Row],[Apt]], INCOME!J:J, Table2[[#This Row],[Month]])</f>
        <v>0</v>
      </c>
      <c r="E64" s="5">
        <f>SUMIFS(EXPENSES!$D:$D, EXPENSES!$C:$C, B64, EXPENSES!$F:$F, A64, EXPENSES!$E:$E, "Direct")</f>
        <v>21690</v>
      </c>
      <c r="F64" s="18">
        <f t="shared" si="8"/>
        <v>0</v>
      </c>
      <c r="G64" s="5">
        <f>SUMIFS(EXPENSES!D:D, EXPENSES!F:F, Data_Consolidado!A64, EXPENSES!E:E, "Shared")</f>
        <v>5518</v>
      </c>
      <c r="H64" s="5">
        <f t="shared" si="4"/>
        <v>0</v>
      </c>
      <c r="I64" s="5">
        <f t="shared" si="5"/>
        <v>21690</v>
      </c>
      <c r="J64" s="5">
        <f t="shared" si="6"/>
        <v>-21690</v>
      </c>
      <c r="K64" s="18" t="str">
        <f t="shared" si="7"/>
        <v>-</v>
      </c>
      <c r="L64">
        <f>SUMIFS(Reference_Nights[[#All],[Available_nights]], Reference_Nights[[#All],[Month]], Table2[[#This Row],[Month]], Reference_Nights[[#All],[Apt]], Table2[[#This Row],[Apt]])</f>
        <v>27</v>
      </c>
      <c r="M64" s="18">
        <f>IF(Table2[[#This Row],[Available _Nights]]=0, 0, Table2[[#This Row],[Booked_Nights]]/Table2[[#This Row],[Available _Nights]])</f>
        <v>0</v>
      </c>
      <c r="N64" s="29">
        <f>IF(Table2[[#This Row],[Booked_Nights]]=0, 0, Table2[[#This Row],[Income]]/Table2[[#This Row],[Booked_Nights]])</f>
        <v>0</v>
      </c>
      <c r="O64" s="29">
        <f>IF(L64=0,0, Table2[[#This Row],[Income]]/Table2[[#This Row],[Available _Nights]])</f>
        <v>0</v>
      </c>
      <c r="P64" s="30">
        <f>IF(Table2[[#This Row],[Income]]=0,0,Table2[[#This Row],[Total_Exp]]/Table2[[#This Row],[Income]])</f>
        <v>0</v>
      </c>
    </row>
    <row r="65" spans="1:16" x14ac:dyDescent="0.2">
      <c r="A65" s="13" t="s">
        <v>1110</v>
      </c>
      <c r="B65" t="s">
        <v>297</v>
      </c>
      <c r="C65" s="5">
        <f>SUMIFS(Table1[FULL AMOUNT mxn pesos], Table1[Month], A65, Table1[APARTMENT], B65)</f>
        <v>63636</v>
      </c>
      <c r="D65">
        <f>SUMIFS(INCOME!C:C, INCOME!D:D, Table2[[#This Row],[Apt]], INCOME!J:J, Table2[[#This Row],[Month]])</f>
        <v>13</v>
      </c>
      <c r="E65" s="5">
        <f>SUMIFS(EXPENSES!$D:$D, EXPENSES!$C:$C, B65, EXPENSES!$F:$F, A65, EXPENSES!$E:$E, "Direct")</f>
        <v>38460</v>
      </c>
      <c r="F65" s="18">
        <f t="shared" si="8"/>
        <v>0.60579059499534493</v>
      </c>
      <c r="G65" s="5">
        <f>SUMIFS(EXPENSES!D:D, EXPENSES!F:F, Data_Consolidado!A65, EXPENSES!E:E, "Shared")</f>
        <v>5518</v>
      </c>
      <c r="H65" s="5">
        <f>G65*F65</f>
        <v>3342.7525031843134</v>
      </c>
      <c r="I65" s="5">
        <f>E65+H65</f>
        <v>41802.752503184311</v>
      </c>
      <c r="J65" s="5">
        <f>C65-I65</f>
        <v>21833.247496815689</v>
      </c>
      <c r="K65" s="18">
        <f>IF(C65=0, "-", (J65/C65))</f>
        <v>0.34309584978338814</v>
      </c>
      <c r="L65">
        <f>SUMIFS(Reference_Nights[[#All],[Available_nights]], Reference_Nights[[#All],[Month]], Table2[[#This Row],[Month]], Reference_Nights[[#All],[Apt]], Table2[[#This Row],[Apt]])</f>
        <v>27</v>
      </c>
      <c r="M65" s="18">
        <f>IF(Table2[[#This Row],[Available _Nights]]=0, 0, Table2[[#This Row],[Booked_Nights]]/Table2[[#This Row],[Available _Nights]])</f>
        <v>0.48148148148148145</v>
      </c>
      <c r="N65" s="29">
        <f>IF(Table2[[#This Row],[Booked_Nights]]=0, 0, Table2[[#This Row],[Income]]/Table2[[#This Row],[Booked_Nights]])</f>
        <v>4895.0769230769229</v>
      </c>
      <c r="O65" s="29">
        <f>IF(L65=0,0, Table2[[#This Row],[Income]]/Table2[[#This Row],[Available _Nights]])</f>
        <v>2356.8888888888887</v>
      </c>
      <c r="P65" s="30">
        <f>IF(Table2[[#This Row],[Income]]=0,0,Table2[[#This Row],[Total_Exp]]/Table2[[#This Row],[Income]])</f>
        <v>0.65690415021661186</v>
      </c>
    </row>
    <row r="66" spans="1:16" x14ac:dyDescent="0.2">
      <c r="A66" s="13" t="s">
        <v>1111</v>
      </c>
      <c r="B66" t="s">
        <v>295</v>
      </c>
      <c r="C66" s="5">
        <f>SUMIFS(Table1[FULL AMOUNT mxn pesos], Table1[Month], A66, Table1[APARTMENT], B66)</f>
        <v>132927.79999999999</v>
      </c>
      <c r="D66">
        <f>SUMIFS(INCOME!C:C, INCOME!D:D, Table2[[#This Row],[Apt]], INCOME!J:J, Table2[[#This Row],[Month]])</f>
        <v>11</v>
      </c>
      <c r="E66" s="5">
        <f>SUMIFS(EXPENSES!$D:$D, EXPENSES!$C:$C, B66, EXPENSES!$F:$F, A66, EXPENSES!$E:$E, "Direct")</f>
        <v>45360</v>
      </c>
      <c r="F66" s="18">
        <f t="shared" ref="F66:F97" si="9">IF(C66=0,0,C66/SUMIF(A:A,A66,C:C))</f>
        <v>0.20586612796464984</v>
      </c>
      <c r="G66" s="5">
        <f>SUMIFS(EXPENSES!D:D, EXPENSES!F:F, Data_Consolidado!A66, EXPENSES!E:E, "Shared")</f>
        <v>1460</v>
      </c>
      <c r="H66" s="5">
        <f t="shared" si="4"/>
        <v>300.56454682838876</v>
      </c>
      <c r="I66" s="5">
        <f t="shared" si="5"/>
        <v>45660.564546828391</v>
      </c>
      <c r="J66" s="5">
        <f t="shared" si="6"/>
        <v>87267.235453171597</v>
      </c>
      <c r="K66" s="18">
        <f t="shared" si="7"/>
        <v>0.65650101373205305</v>
      </c>
      <c r="L66">
        <f>SUMIFS(Reference_Nights[[#All],[Available_nights]], Reference_Nights[[#All],[Month]], Table2[[#This Row],[Month]], Reference_Nights[[#All],[Apt]], Table2[[#This Row],[Apt]])</f>
        <v>28</v>
      </c>
      <c r="M66" s="18">
        <f>IF(Table2[[#This Row],[Available _Nights]]=0, 0, Table2[[#This Row],[Booked_Nights]]/Table2[[#This Row],[Available _Nights]])</f>
        <v>0.39285714285714285</v>
      </c>
      <c r="N66" s="29">
        <f>IF(Table2[[#This Row],[Booked_Nights]]=0, 0, Table2[[#This Row],[Income]]/Table2[[#This Row],[Booked_Nights]])</f>
        <v>12084.345454545453</v>
      </c>
      <c r="O66" s="29">
        <f>IF(L66=0,0, Table2[[#This Row],[Income]]/Table2[[#This Row],[Available _Nights]])</f>
        <v>4747.4214285714279</v>
      </c>
      <c r="P66" s="30">
        <f>IF(Table2[[#This Row],[Income]]=0,0,Table2[[#This Row],[Total_Exp]]/Table2[[#This Row],[Income]])</f>
        <v>0.34349898626794695</v>
      </c>
    </row>
    <row r="67" spans="1:16" x14ac:dyDescent="0.2">
      <c r="A67" s="13" t="s">
        <v>1111</v>
      </c>
      <c r="B67" t="s">
        <v>296</v>
      </c>
      <c r="C67" s="5">
        <f>SUMIFS(Table1[FULL AMOUNT mxn pesos], Table1[Month], A67, Table1[APARTMENT], B67)</f>
        <v>140103.6</v>
      </c>
      <c r="D67">
        <f>SUMIFS(INCOME!C:C, INCOME!D:D, Table2[[#This Row],[Apt]], INCOME!J:J, Table2[[#This Row],[Month]])</f>
        <v>15</v>
      </c>
      <c r="E67" s="5">
        <f>SUMIFS(EXPENSES!$D:$D, EXPENSES!$C:$C, B67, EXPENSES!$F:$F, A67, EXPENSES!$E:$E, "Direct")</f>
        <v>24260</v>
      </c>
      <c r="F67" s="18">
        <f t="shared" si="9"/>
        <v>0.21697933499168812</v>
      </c>
      <c r="G67" s="5">
        <f>SUMIFS(EXPENSES!D:D, EXPENSES!F:F, Data_Consolidado!A67, EXPENSES!E:E, "Shared")</f>
        <v>1460</v>
      </c>
      <c r="H67" s="5">
        <f t="shared" si="4"/>
        <v>316.78982908786463</v>
      </c>
      <c r="I67" s="5">
        <f t="shared" si="5"/>
        <v>24576.789829087866</v>
      </c>
      <c r="J67" s="5">
        <f t="shared" si="6"/>
        <v>115526.81017091214</v>
      </c>
      <c r="K67" s="18">
        <f t="shared" si="7"/>
        <v>0.82458131105062349</v>
      </c>
      <c r="L67">
        <f>SUMIFS(Reference_Nights[[#All],[Available_nights]], Reference_Nights[[#All],[Month]], Table2[[#This Row],[Month]], Reference_Nights[[#All],[Apt]], Table2[[#This Row],[Apt]])</f>
        <v>28</v>
      </c>
      <c r="M67" s="18">
        <f>IF(Table2[[#This Row],[Available _Nights]]=0, 0, Table2[[#This Row],[Booked_Nights]]/Table2[[#This Row],[Available _Nights]])</f>
        <v>0.5357142857142857</v>
      </c>
      <c r="N67" s="29">
        <f>IF(Table2[[#This Row],[Booked_Nights]]=0, 0, Table2[[#This Row],[Income]]/Table2[[#This Row],[Booked_Nights]])</f>
        <v>9340.24</v>
      </c>
      <c r="O67" s="29">
        <f>IF(L67=0,0, Table2[[#This Row],[Income]]/Table2[[#This Row],[Available _Nights]])</f>
        <v>5003.7</v>
      </c>
      <c r="P67" s="30">
        <f>IF(Table2[[#This Row],[Income]]=0,0,Table2[[#This Row],[Total_Exp]]/Table2[[#This Row],[Income]])</f>
        <v>0.17541868894937648</v>
      </c>
    </row>
    <row r="68" spans="1:16" x14ac:dyDescent="0.2">
      <c r="A68" s="13" t="s">
        <v>1111</v>
      </c>
      <c r="B68" t="s">
        <v>297</v>
      </c>
      <c r="C68" s="5">
        <f>SUMIFS(Table1[FULL AMOUNT mxn pesos], Table1[Month], A68, Table1[APARTMENT], B68)</f>
        <v>372668.8</v>
      </c>
      <c r="D68">
        <f>SUMIFS(INCOME!C:C, INCOME!D:D, Table2[[#This Row],[Apt]], INCOME!J:J, Table2[[#This Row],[Month]])</f>
        <v>42</v>
      </c>
      <c r="E68" s="5">
        <f>SUMIFS(EXPENSES!$D:$D, EXPENSES!$C:$C, B68, EXPENSES!$F:$F, A68, EXPENSES!$E:$E, "Direct")</f>
        <v>39320</v>
      </c>
      <c r="F68" s="18">
        <f t="shared" si="9"/>
        <v>0.57715453704366204</v>
      </c>
      <c r="G68" s="5">
        <f>SUMIFS(EXPENSES!D:D, EXPENSES!F:F, Data_Consolidado!A68, EXPENSES!E:E, "Shared")</f>
        <v>1460</v>
      </c>
      <c r="H68" s="5">
        <f>G68*F68</f>
        <v>842.64562408374661</v>
      </c>
      <c r="I68" s="5">
        <f>E68+H68</f>
        <v>40162.645624083743</v>
      </c>
      <c r="J68" s="5">
        <f>C68-I68</f>
        <v>332506.15437591623</v>
      </c>
      <c r="K68" s="18">
        <f>IF(C68=0, "-", (J68/C68))</f>
        <v>0.89222965371910989</v>
      </c>
      <c r="L68">
        <f>SUMIFS(Reference_Nights[[#All],[Available_nights]], Reference_Nights[[#All],[Month]], Table2[[#This Row],[Month]], Reference_Nights[[#All],[Apt]], Table2[[#This Row],[Apt]])</f>
        <v>28</v>
      </c>
      <c r="M68" s="18">
        <f>IF(Table2[[#This Row],[Available _Nights]]=0, 0, Table2[[#This Row],[Booked_Nights]]/Table2[[#This Row],[Available _Nights]])</f>
        <v>1.5</v>
      </c>
      <c r="N68" s="29">
        <f>IF(Table2[[#This Row],[Booked_Nights]]=0, 0, Table2[[#This Row],[Income]]/Table2[[#This Row],[Booked_Nights]])</f>
        <v>8873.0666666666657</v>
      </c>
      <c r="O68" s="29">
        <f>IF(L68=0,0, Table2[[#This Row],[Income]]/Table2[[#This Row],[Available _Nights]])</f>
        <v>13309.6</v>
      </c>
      <c r="P68" s="30">
        <f>IF(Table2[[#This Row],[Income]]=0,0,Table2[[#This Row],[Total_Exp]]/Table2[[#This Row],[Income]])</f>
        <v>0.10777034628089001</v>
      </c>
    </row>
    <row r="69" spans="1:16" x14ac:dyDescent="0.2">
      <c r="A69" s="13" t="s">
        <v>1112</v>
      </c>
      <c r="B69" t="s">
        <v>295</v>
      </c>
      <c r="C69" s="5">
        <f>SUMIFS(Table1[FULL AMOUNT mxn pesos], Table1[Month], A69, Table1[APARTMENT], B69)</f>
        <v>691789.6</v>
      </c>
      <c r="D69">
        <f>SUMIFS(INCOME!C:C, INCOME!D:D, Table2[[#This Row],[Apt]], INCOME!J:J, Table2[[#This Row],[Month]])</f>
        <v>21</v>
      </c>
      <c r="E69" s="5">
        <f>SUMIFS(EXPENSES!$D:$D, EXPENSES!$C:$C, B69, EXPENSES!$F:$F, A69, EXPENSES!$E:$E, "Direct")</f>
        <v>58210</v>
      </c>
      <c r="F69" s="18">
        <f t="shared" si="9"/>
        <v>0.82627355297236005</v>
      </c>
      <c r="G69" s="5">
        <f>SUMIFS(EXPENSES!D:D, EXPENSES!F:F, Data_Consolidado!A69, EXPENSES!E:E, "Shared")</f>
        <v>18969</v>
      </c>
      <c r="H69" s="5">
        <f t="shared" si="4"/>
        <v>15673.583026332697</v>
      </c>
      <c r="I69" s="5">
        <f t="shared" si="5"/>
        <v>73883.583026332693</v>
      </c>
      <c r="J69" s="5">
        <f t="shared" si="6"/>
        <v>617906.01697366731</v>
      </c>
      <c r="K69" s="18">
        <f t="shared" si="7"/>
        <v>0.89319934409778257</v>
      </c>
      <c r="L69">
        <f>SUMIFS(Reference_Nights[[#All],[Available_nights]], Reference_Nights[[#All],[Month]], Table2[[#This Row],[Month]], Reference_Nights[[#All],[Apt]], Table2[[#This Row],[Apt]])</f>
        <v>28</v>
      </c>
      <c r="M69" s="18">
        <f>IF(Table2[[#This Row],[Available _Nights]]=0, 0, Table2[[#This Row],[Booked_Nights]]/Table2[[#This Row],[Available _Nights]])</f>
        <v>0.75</v>
      </c>
      <c r="N69" s="29">
        <f>IF(Table2[[#This Row],[Booked_Nights]]=0, 0, Table2[[#This Row],[Income]]/Table2[[#This Row],[Booked_Nights]])</f>
        <v>32942.361904761907</v>
      </c>
      <c r="O69" s="29">
        <f>IF(L69=0,0, Table2[[#This Row],[Income]]/Table2[[#This Row],[Available _Nights]])</f>
        <v>24706.771428571428</v>
      </c>
      <c r="P69" s="30">
        <f>IF(Table2[[#This Row],[Income]]=0,0,Table2[[#This Row],[Total_Exp]]/Table2[[#This Row],[Income]])</f>
        <v>0.10680065590221752</v>
      </c>
    </row>
    <row r="70" spans="1:16" x14ac:dyDescent="0.2">
      <c r="A70" s="13" t="s">
        <v>1112</v>
      </c>
      <c r="B70" t="s">
        <v>296</v>
      </c>
      <c r="C70" s="5">
        <f>SUMIFS(Table1[FULL AMOUNT mxn pesos], Table1[Month], A70, Table1[APARTMENT], B70)</f>
        <v>37610.800000000003</v>
      </c>
      <c r="D70">
        <f>SUMIFS(INCOME!C:C, INCOME!D:D, Table2[[#This Row],[Apt]], INCOME!J:J, Table2[[#This Row],[Month]])</f>
        <v>11</v>
      </c>
      <c r="E70" s="5">
        <f>SUMIFS(EXPENSES!$D:$D, EXPENSES!$C:$C, B70, EXPENSES!$F:$F, A70, EXPENSES!$E:$E, "Direct")</f>
        <v>29993.760000000002</v>
      </c>
      <c r="F70" s="18">
        <f t="shared" si="9"/>
        <v>4.4922342495655972E-2</v>
      </c>
      <c r="G70" s="5">
        <f>SUMIFS(EXPENSES!D:D, EXPENSES!F:F, Data_Consolidado!A70, EXPENSES!E:E, "Shared")</f>
        <v>18969</v>
      </c>
      <c r="H70" s="5">
        <f t="shared" si="4"/>
        <v>852.13191480009812</v>
      </c>
      <c r="I70" s="5">
        <f t="shared" si="5"/>
        <v>30845.8919148001</v>
      </c>
      <c r="J70" s="5">
        <f t="shared" si="6"/>
        <v>6764.9080851999024</v>
      </c>
      <c r="K70" s="18">
        <f t="shared" si="7"/>
        <v>0.17986610455507199</v>
      </c>
      <c r="L70">
        <f>SUMIFS(Reference_Nights[[#All],[Available_nights]], Reference_Nights[[#All],[Month]], Table2[[#This Row],[Month]], Reference_Nights[[#All],[Apt]], Table2[[#This Row],[Apt]])</f>
        <v>28</v>
      </c>
      <c r="M70" s="18">
        <f>IF(Table2[[#This Row],[Available _Nights]]=0, 0, Table2[[#This Row],[Booked_Nights]]/Table2[[#This Row],[Available _Nights]])</f>
        <v>0.39285714285714285</v>
      </c>
      <c r="N70" s="29">
        <f>IF(Table2[[#This Row],[Booked_Nights]]=0, 0, Table2[[#This Row],[Income]]/Table2[[#This Row],[Booked_Nights]])</f>
        <v>3419.1636363636367</v>
      </c>
      <c r="O70" s="29">
        <f>IF(L70=0,0, Table2[[#This Row],[Income]]/Table2[[#This Row],[Available _Nights]])</f>
        <v>1343.2428571428572</v>
      </c>
      <c r="P70" s="30">
        <f>IF(Table2[[#This Row],[Income]]=0,0,Table2[[#This Row],[Total_Exp]]/Table2[[#This Row],[Income]])</f>
        <v>0.82013389544492798</v>
      </c>
    </row>
    <row r="71" spans="1:16" x14ac:dyDescent="0.2">
      <c r="A71" s="13" t="s">
        <v>1112</v>
      </c>
      <c r="B71" t="s">
        <v>297</v>
      </c>
      <c r="C71" s="5">
        <f>SUMIFS(Table1[FULL AMOUNT mxn pesos], Table1[Month], A71, Table1[APARTMENT], B71)</f>
        <v>107840</v>
      </c>
      <c r="D71">
        <f>SUMIFS(INCOME!C:C, INCOME!D:D, Table2[[#This Row],[Apt]], INCOME!J:J, Table2[[#This Row],[Month]])</f>
        <v>36</v>
      </c>
      <c r="E71" s="5">
        <f>SUMIFS(EXPENSES!$D:$D, EXPENSES!$C:$C, B71, EXPENSES!$F:$F, A71, EXPENSES!$E:$E, "Direct")</f>
        <v>34970</v>
      </c>
      <c r="F71" s="18">
        <f t="shared" si="9"/>
        <v>0.12880410453198388</v>
      </c>
      <c r="G71" s="5">
        <f>SUMIFS(EXPENSES!D:D, EXPENSES!F:F, Data_Consolidado!A71, EXPENSES!E:E, "Shared")</f>
        <v>18969</v>
      </c>
      <c r="H71" s="5">
        <f>G71*F71</f>
        <v>2443.2850588672022</v>
      </c>
      <c r="I71" s="5">
        <f>E71+H71</f>
        <v>37413.285058867201</v>
      </c>
      <c r="J71" s="5">
        <f>C71-I71</f>
        <v>70426.714941132799</v>
      </c>
      <c r="K71" s="18">
        <f>IF(C71=0, "-", (J71/C71))</f>
        <v>0.65306671866777444</v>
      </c>
      <c r="L71">
        <f>SUMIFS(Reference_Nights[[#All],[Available_nights]], Reference_Nights[[#All],[Month]], Table2[[#This Row],[Month]], Reference_Nights[[#All],[Apt]], Table2[[#This Row],[Apt]])</f>
        <v>28</v>
      </c>
      <c r="M71" s="18">
        <f>IF(Table2[[#This Row],[Available _Nights]]=0, 0, Table2[[#This Row],[Booked_Nights]]/Table2[[#This Row],[Available _Nights]])</f>
        <v>1.2857142857142858</v>
      </c>
      <c r="N71" s="29">
        <f>IF(Table2[[#This Row],[Booked_Nights]]=0, 0, Table2[[#This Row],[Income]]/Table2[[#This Row],[Booked_Nights]])</f>
        <v>2995.5555555555557</v>
      </c>
      <c r="O71" s="29">
        <f>IF(L71=0,0, Table2[[#This Row],[Income]]/Table2[[#This Row],[Available _Nights]])</f>
        <v>3851.4285714285716</v>
      </c>
      <c r="P71" s="30">
        <f>IF(Table2[[#This Row],[Income]]=0,0,Table2[[#This Row],[Total_Exp]]/Table2[[#This Row],[Income]])</f>
        <v>0.34693328133222551</v>
      </c>
    </row>
    <row r="72" spans="1:16" x14ac:dyDescent="0.2">
      <c r="A72" s="13" t="s">
        <v>1113</v>
      </c>
      <c r="B72" t="s">
        <v>295</v>
      </c>
      <c r="C72" s="5">
        <f>SUMIFS(Table1[FULL AMOUNT mxn pesos], Table1[Month], A72, Table1[APARTMENT], B72)</f>
        <v>41551.399999999994</v>
      </c>
      <c r="D72">
        <f>SUMIFS(INCOME!C:C, INCOME!D:D, Table2[[#This Row],[Apt]], INCOME!J:J, Table2[[#This Row],[Month]])</f>
        <v>13</v>
      </c>
      <c r="E72" s="5">
        <f>SUMIFS(EXPENSES!$D:$D, EXPENSES!$C:$C, B72, EXPENSES!$F:$F, A72, EXPENSES!$E:$E, "Direct")</f>
        <v>29037</v>
      </c>
      <c r="F72" s="18">
        <f t="shared" si="9"/>
        <v>0.17964801416728707</v>
      </c>
      <c r="G72" s="5">
        <f>SUMIFS(EXPENSES!D:D, EXPENSES!F:F, Data_Consolidado!A72, EXPENSES!E:E, "Shared")</f>
        <v>19120</v>
      </c>
      <c r="H72" s="5">
        <f t="shared" si="4"/>
        <v>3434.8700308785287</v>
      </c>
      <c r="I72" s="5">
        <f t="shared" si="5"/>
        <v>32471.87003087853</v>
      </c>
      <c r="J72" s="5">
        <f t="shared" si="6"/>
        <v>9079.5299691214641</v>
      </c>
      <c r="K72" s="18">
        <f t="shared" si="7"/>
        <v>0.21851321421471875</v>
      </c>
      <c r="L72">
        <f>SUMIFS(Reference_Nights[[#All],[Available_nights]], Reference_Nights[[#All],[Month]], Table2[[#This Row],[Month]], Reference_Nights[[#All],[Apt]], Table2[[#This Row],[Apt]])</f>
        <v>26</v>
      </c>
      <c r="M72" s="18">
        <f>IF(Table2[[#This Row],[Available _Nights]]=0, 0, Table2[[#This Row],[Booked_Nights]]/Table2[[#This Row],[Available _Nights]])</f>
        <v>0.5</v>
      </c>
      <c r="N72" s="29">
        <f>IF(Table2[[#This Row],[Booked_Nights]]=0, 0, Table2[[#This Row],[Income]]/Table2[[#This Row],[Booked_Nights]])</f>
        <v>3196.2615384615378</v>
      </c>
      <c r="O72" s="29">
        <f>IF(L72=0,0, Table2[[#This Row],[Income]]/Table2[[#This Row],[Available _Nights]])</f>
        <v>1598.1307692307689</v>
      </c>
      <c r="P72" s="30">
        <f>IF(Table2[[#This Row],[Income]]=0,0,Table2[[#This Row],[Total_Exp]]/Table2[[#This Row],[Income]])</f>
        <v>0.78148678578528119</v>
      </c>
    </row>
    <row r="73" spans="1:16" x14ac:dyDescent="0.2">
      <c r="A73" s="13" t="s">
        <v>1113</v>
      </c>
      <c r="B73" t="s">
        <v>296</v>
      </c>
      <c r="C73" s="5">
        <f>SUMIFS(Table1[FULL AMOUNT mxn pesos], Table1[Month], A73, Table1[APARTMENT], B73)</f>
        <v>81000</v>
      </c>
      <c r="D73">
        <f>SUMIFS(INCOME!C:C, INCOME!D:D, Table2[[#This Row],[Apt]], INCOME!J:J, Table2[[#This Row],[Month]])</f>
        <v>180</v>
      </c>
      <c r="E73" s="5">
        <f>SUMIFS(EXPENSES!$D:$D, EXPENSES!$C:$C, B73, EXPENSES!$F:$F, A73, EXPENSES!$E:$E, "Direct")</f>
        <v>15333.4</v>
      </c>
      <c r="F73" s="18">
        <f t="shared" si="9"/>
        <v>0.35020454539558848</v>
      </c>
      <c r="G73" s="5">
        <f>SUMIFS(EXPENSES!D:D, EXPENSES!F:F, Data_Consolidado!A73, EXPENSES!E:E, "Shared")</f>
        <v>19120</v>
      </c>
      <c r="H73" s="5">
        <f t="shared" si="4"/>
        <v>6695.9109079636519</v>
      </c>
      <c r="I73" s="5">
        <f t="shared" si="5"/>
        <v>22029.310907963652</v>
      </c>
      <c r="J73" s="5">
        <f t="shared" si="6"/>
        <v>58970.689092036351</v>
      </c>
      <c r="K73" s="18">
        <f t="shared" si="7"/>
        <v>0.72803319866711547</v>
      </c>
      <c r="L73">
        <f>SUMIFS(Reference_Nights[[#All],[Available_nights]], Reference_Nights[[#All],[Month]], Table2[[#This Row],[Month]], Reference_Nights[[#All],[Apt]], Table2[[#This Row],[Apt]])</f>
        <v>26</v>
      </c>
      <c r="M73" s="18">
        <f>IF(Table2[[#This Row],[Available _Nights]]=0, 0, Table2[[#This Row],[Booked_Nights]]/Table2[[#This Row],[Available _Nights]])</f>
        <v>6.9230769230769234</v>
      </c>
      <c r="N73" s="29">
        <f>IF(Table2[[#This Row],[Booked_Nights]]=0, 0, Table2[[#This Row],[Income]]/Table2[[#This Row],[Booked_Nights]])</f>
        <v>450</v>
      </c>
      <c r="O73" s="29">
        <f>IF(L73=0,0, Table2[[#This Row],[Income]]/Table2[[#This Row],[Available _Nights]])</f>
        <v>3115.3846153846152</v>
      </c>
      <c r="P73" s="30">
        <f>IF(Table2[[#This Row],[Income]]=0,0,Table2[[#This Row],[Total_Exp]]/Table2[[#This Row],[Income]])</f>
        <v>0.27196680133288459</v>
      </c>
    </row>
    <row r="74" spans="1:16" x14ac:dyDescent="0.2">
      <c r="A74" s="13" t="s">
        <v>1113</v>
      </c>
      <c r="B74" t="s">
        <v>297</v>
      </c>
      <c r="C74" s="5">
        <f>SUMIFS(Table1[FULL AMOUNT mxn pesos], Table1[Month], A74, Table1[APARTMENT], B74)</f>
        <v>108742</v>
      </c>
      <c r="D74">
        <f>SUMIFS(INCOME!C:C, INCOME!D:D, Table2[[#This Row],[Apt]], INCOME!J:J, Table2[[#This Row],[Month]])</f>
        <v>34</v>
      </c>
      <c r="E74" s="5">
        <f>SUMIFS(EXPENSES!$D:$D, EXPENSES!$C:$C, B74, EXPENSES!$F:$F, A74, EXPENSES!$E:$E, "Direct")</f>
        <v>27027</v>
      </c>
      <c r="F74" s="18">
        <f t="shared" si="9"/>
        <v>0.47014744043712448</v>
      </c>
      <c r="G74" s="5">
        <f>SUMIFS(EXPENSES!D:D, EXPENSES!F:F, Data_Consolidado!A74, EXPENSES!E:E, "Shared")</f>
        <v>19120</v>
      </c>
      <c r="H74" s="5">
        <f>G74*F74</f>
        <v>8989.2190611578208</v>
      </c>
      <c r="I74" s="5">
        <f>E74+H74</f>
        <v>36016.219061157819</v>
      </c>
      <c r="J74" s="5">
        <f>C74-I74</f>
        <v>72725.780938842188</v>
      </c>
      <c r="K74" s="18">
        <f>IF(C74=0, "-", (J74/C74))</f>
        <v>0.66879201172354918</v>
      </c>
      <c r="L74">
        <f>SUMIFS(Reference_Nights[[#All],[Available_nights]], Reference_Nights[[#All],[Month]], Table2[[#This Row],[Month]], Reference_Nights[[#All],[Apt]], Table2[[#This Row],[Apt]])</f>
        <v>26</v>
      </c>
      <c r="M74" s="18">
        <f>IF(Table2[[#This Row],[Available _Nights]]=0, 0, Table2[[#This Row],[Booked_Nights]]/Table2[[#This Row],[Available _Nights]])</f>
        <v>1.3076923076923077</v>
      </c>
      <c r="N74" s="29">
        <f>IF(Table2[[#This Row],[Booked_Nights]]=0, 0, Table2[[#This Row],[Income]]/Table2[[#This Row],[Booked_Nights]])</f>
        <v>3198.294117647059</v>
      </c>
      <c r="O74" s="29">
        <f>IF(L74=0,0, Table2[[#This Row],[Income]]/Table2[[#This Row],[Available _Nights]])</f>
        <v>4182.3846153846152</v>
      </c>
      <c r="P74" s="30">
        <f>IF(Table2[[#This Row],[Income]]=0,0,Table2[[#This Row],[Total_Exp]]/Table2[[#This Row],[Income]])</f>
        <v>0.33120798827645087</v>
      </c>
    </row>
    <row r="75" spans="1:16" x14ac:dyDescent="0.2">
      <c r="A75" s="13" t="s">
        <v>1114</v>
      </c>
      <c r="B75" t="s">
        <v>295</v>
      </c>
      <c r="C75" s="5">
        <f>SUMIFS(Table1[FULL AMOUNT mxn pesos], Table1[Month], A75, Table1[APARTMENT], B75)</f>
        <v>54214.6</v>
      </c>
      <c r="D75">
        <f>SUMIFS(INCOME!C:C, INCOME!D:D, Table2[[#This Row],[Apt]], INCOME!J:J, Table2[[#This Row],[Month]])</f>
        <v>17</v>
      </c>
      <c r="E75" s="5">
        <f>SUMIFS(EXPENSES!$D:$D, EXPENSES!$C:$C, B75, EXPENSES!$F:$F, A75, EXPENSES!$E:$E, "Direct")</f>
        <v>30122</v>
      </c>
      <c r="F75" s="18">
        <f t="shared" si="9"/>
        <v>0.30385636732731086</v>
      </c>
      <c r="G75" s="5">
        <f>SUMIFS(EXPENSES!D:D, EXPENSES!F:F, Data_Consolidado!A75, EXPENSES!E:E, "Shared")</f>
        <v>2740</v>
      </c>
      <c r="H75" s="5">
        <f t="shared" si="4"/>
        <v>832.56644647683174</v>
      </c>
      <c r="I75" s="5">
        <f t="shared" si="5"/>
        <v>30954.566446476831</v>
      </c>
      <c r="J75" s="5">
        <f t="shared" si="6"/>
        <v>23260.033553523168</v>
      </c>
      <c r="K75" s="18">
        <f t="shared" si="7"/>
        <v>0.42903633990702078</v>
      </c>
      <c r="L75">
        <f>SUMIFS(Reference_Nights[[#All],[Available_nights]], Reference_Nights[[#All],[Month]], Table2[[#This Row],[Month]], Reference_Nights[[#All],[Apt]], Table2[[#This Row],[Apt]])</f>
        <v>28</v>
      </c>
      <c r="M75" s="18">
        <f>IF(Table2[[#This Row],[Available _Nights]]=0, 0, Table2[[#This Row],[Booked_Nights]]/Table2[[#This Row],[Available _Nights]])</f>
        <v>0.6071428571428571</v>
      </c>
      <c r="N75" s="29">
        <f>IF(Table2[[#This Row],[Booked_Nights]]=0, 0, Table2[[#This Row],[Income]]/Table2[[#This Row],[Booked_Nights]])</f>
        <v>3189.0941176470587</v>
      </c>
      <c r="O75" s="29">
        <f>IF(L75=0,0, Table2[[#This Row],[Income]]/Table2[[#This Row],[Available _Nights]])</f>
        <v>1936.2357142857143</v>
      </c>
      <c r="P75" s="30">
        <f>IF(Table2[[#This Row],[Income]]=0,0,Table2[[#This Row],[Total_Exp]]/Table2[[#This Row],[Income]])</f>
        <v>0.57096366009297927</v>
      </c>
    </row>
    <row r="76" spans="1:16" x14ac:dyDescent="0.2">
      <c r="A76" s="13" t="s">
        <v>1114</v>
      </c>
      <c r="B76" t="s">
        <v>296</v>
      </c>
      <c r="C76" s="5">
        <f>SUMIFS(Table1[FULL AMOUNT mxn pesos], Table1[Month], A76, Table1[APARTMENT], B76)</f>
        <v>0</v>
      </c>
      <c r="D76">
        <f>SUMIFS(INCOME!C:C, INCOME!D:D, Table2[[#This Row],[Apt]], INCOME!J:J, Table2[[#This Row],[Month]])</f>
        <v>0</v>
      </c>
      <c r="E76" s="5">
        <f>SUMIFS(EXPENSES!$D:$D, EXPENSES!$C:$C, B76, EXPENSES!$F:$F, A76, EXPENSES!$E:$E, "Direct")</f>
        <v>14403.46</v>
      </c>
      <c r="F76" s="18">
        <f t="shared" si="9"/>
        <v>0</v>
      </c>
      <c r="G76" s="5">
        <f>SUMIFS(EXPENSES!D:D, EXPENSES!F:F, Data_Consolidado!A76, EXPENSES!E:E, "Shared")</f>
        <v>2740</v>
      </c>
      <c r="H76" s="5">
        <f t="shared" si="4"/>
        <v>0</v>
      </c>
      <c r="I76" s="5">
        <f t="shared" si="5"/>
        <v>14403.46</v>
      </c>
      <c r="J76" s="5">
        <f t="shared" si="6"/>
        <v>-14403.46</v>
      </c>
      <c r="K76" s="18" t="str">
        <f t="shared" si="7"/>
        <v>-</v>
      </c>
      <c r="L76">
        <f>SUMIFS(Reference_Nights[[#All],[Available_nights]], Reference_Nights[[#All],[Month]], Table2[[#This Row],[Month]], Reference_Nights[[#All],[Apt]], Table2[[#This Row],[Apt]])</f>
        <v>28</v>
      </c>
      <c r="M76" s="18">
        <f>IF(Table2[[#This Row],[Available _Nights]]=0, 0, Table2[[#This Row],[Booked_Nights]]/Table2[[#This Row],[Available _Nights]])</f>
        <v>0</v>
      </c>
      <c r="N76" s="29">
        <f>IF(Table2[[#This Row],[Booked_Nights]]=0, 0, Table2[[#This Row],[Income]]/Table2[[#This Row],[Booked_Nights]])</f>
        <v>0</v>
      </c>
      <c r="O76" s="29">
        <f>IF(L76=0,0, Table2[[#This Row],[Income]]/Table2[[#This Row],[Available _Nights]])</f>
        <v>0</v>
      </c>
      <c r="P76" s="30">
        <f>IF(Table2[[#This Row],[Income]]=0,0,Table2[[#This Row],[Total_Exp]]/Table2[[#This Row],[Income]])</f>
        <v>0</v>
      </c>
    </row>
    <row r="77" spans="1:16" x14ac:dyDescent="0.2">
      <c r="A77" s="13" t="s">
        <v>1114</v>
      </c>
      <c r="B77" t="s">
        <v>297</v>
      </c>
      <c r="C77" s="5">
        <f>SUMIFS(Table1[FULL AMOUNT mxn pesos], Table1[Month], A77, Table1[APARTMENT], B77)</f>
        <v>124207.20000000001</v>
      </c>
      <c r="D77">
        <f>SUMIFS(INCOME!C:C, INCOME!D:D, Table2[[#This Row],[Apt]], INCOME!J:J, Table2[[#This Row],[Month]])</f>
        <v>90</v>
      </c>
      <c r="E77" s="5">
        <f>SUMIFS(EXPENSES!$D:$D, EXPENSES!$C:$C, B77, EXPENSES!$F:$F, A77, EXPENSES!$E:$E, "Direct")</f>
        <v>29512</v>
      </c>
      <c r="F77" s="18">
        <f t="shared" si="9"/>
        <v>0.69614363267268908</v>
      </c>
      <c r="G77" s="5">
        <f>SUMIFS(EXPENSES!D:D, EXPENSES!F:F, Data_Consolidado!A77, EXPENSES!E:E, "Shared")</f>
        <v>2740</v>
      </c>
      <c r="H77" s="5">
        <f>G77*F77</f>
        <v>1907.433553523168</v>
      </c>
      <c r="I77" s="5">
        <f>E77+H77</f>
        <v>31419.433553523169</v>
      </c>
      <c r="J77" s="5">
        <f>C77-I77</f>
        <v>92787.766446476846</v>
      </c>
      <c r="K77" s="18">
        <f>IF(C77=0, "-", (J77/C77))</f>
        <v>0.74704015907674304</v>
      </c>
      <c r="L77">
        <f>SUMIFS(Reference_Nights[[#All],[Available_nights]], Reference_Nights[[#All],[Month]], Table2[[#This Row],[Month]], Reference_Nights[[#All],[Apt]], Table2[[#This Row],[Apt]])</f>
        <v>28</v>
      </c>
      <c r="M77" s="18">
        <f>IF(Table2[[#This Row],[Available _Nights]]=0, 0, Table2[[#This Row],[Booked_Nights]]/Table2[[#This Row],[Available _Nights]])</f>
        <v>3.2142857142857144</v>
      </c>
      <c r="N77" s="29">
        <f>IF(Table2[[#This Row],[Booked_Nights]]=0, 0, Table2[[#This Row],[Income]]/Table2[[#This Row],[Booked_Nights]])</f>
        <v>1380.0800000000002</v>
      </c>
      <c r="O77" s="29">
        <f>IF(L77=0,0, Table2[[#This Row],[Income]]/Table2[[#This Row],[Available _Nights]])</f>
        <v>4435.971428571429</v>
      </c>
      <c r="P77" s="30">
        <f>IF(Table2[[#This Row],[Income]]=0,0,Table2[[#This Row],[Total_Exp]]/Table2[[#This Row],[Income]])</f>
        <v>0.25295984092325702</v>
      </c>
    </row>
    <row r="78" spans="1:16" x14ac:dyDescent="0.2">
      <c r="A78" s="13" t="s">
        <v>1115</v>
      </c>
      <c r="B78" t="s">
        <v>295</v>
      </c>
      <c r="C78" s="5">
        <f>SUMIFS(Table1[FULL AMOUNT mxn pesos], Table1[Month], A78, Table1[APARTMENT], B78)</f>
        <v>25320</v>
      </c>
      <c r="D78">
        <f>SUMIFS(INCOME!C:C, INCOME!D:D, Table2[[#This Row],[Apt]], INCOME!J:J, Table2[[#This Row],[Month]])</f>
        <v>11</v>
      </c>
      <c r="E78" s="5">
        <f>SUMIFS(EXPENSES!$D:$D, EXPENSES!$C:$C, B78, EXPENSES!$F:$F, A78, EXPENSES!$E:$E, "Direct")</f>
        <v>29762</v>
      </c>
      <c r="F78" s="18">
        <f t="shared" si="9"/>
        <v>0.29998578266432868</v>
      </c>
      <c r="G78" s="5">
        <f>SUMIFS(EXPENSES!D:D, EXPENSES!F:F, Data_Consolidado!A78, EXPENSES!E:E, "Shared")</f>
        <v>7000</v>
      </c>
      <c r="H78" s="5">
        <f t="shared" si="4"/>
        <v>2099.9004786503006</v>
      </c>
      <c r="I78" s="5">
        <f t="shared" si="5"/>
        <v>31861.900478650299</v>
      </c>
      <c r="J78" s="5">
        <f t="shared" si="6"/>
        <v>-6541.9004786502992</v>
      </c>
      <c r="K78" s="18">
        <f t="shared" si="7"/>
        <v>-0.25836889726107026</v>
      </c>
      <c r="L78">
        <f>SUMIFS(Reference_Nights[[#All],[Available_nights]], Reference_Nights[[#All],[Month]], Table2[[#This Row],[Month]], Reference_Nights[[#All],[Apt]], Table2[[#This Row],[Apt]])</f>
        <v>27</v>
      </c>
      <c r="M78" s="18">
        <f>IF(Table2[[#This Row],[Available _Nights]]=0, 0, Table2[[#This Row],[Booked_Nights]]/Table2[[#This Row],[Available _Nights]])</f>
        <v>0.40740740740740738</v>
      </c>
      <c r="N78" s="29">
        <f>IF(Table2[[#This Row],[Booked_Nights]]=0, 0, Table2[[#This Row],[Income]]/Table2[[#This Row],[Booked_Nights]])</f>
        <v>2301.818181818182</v>
      </c>
      <c r="O78" s="29">
        <f>IF(L78=0,0, Table2[[#This Row],[Income]]/Table2[[#This Row],[Available _Nights]])</f>
        <v>937.77777777777783</v>
      </c>
      <c r="P78" s="30">
        <f>IF(Table2[[#This Row],[Income]]=0,0,Table2[[#This Row],[Total_Exp]]/Table2[[#This Row],[Income]])</f>
        <v>1.2583688972610703</v>
      </c>
    </row>
    <row r="79" spans="1:16" x14ac:dyDescent="0.2">
      <c r="A79" s="13" t="s">
        <v>1115</v>
      </c>
      <c r="B79" t="s">
        <v>296</v>
      </c>
      <c r="C79" s="5">
        <f>SUMIFS(Table1[FULL AMOUNT mxn pesos], Table1[Month], A79, Table1[APARTMENT], B79)</f>
        <v>0</v>
      </c>
      <c r="D79">
        <f>SUMIFS(INCOME!C:C, INCOME!D:D, Table2[[#This Row],[Apt]], INCOME!J:J, Table2[[#This Row],[Month]])</f>
        <v>0</v>
      </c>
      <c r="E79" s="5">
        <f>SUMIFS(EXPENSES!$D:$D, EXPENSES!$C:$C, B79, EXPENSES!$F:$F, A79, EXPENSES!$E:$E, "Direct")</f>
        <v>22333.46</v>
      </c>
      <c r="F79" s="18">
        <f t="shared" si="9"/>
        <v>0</v>
      </c>
      <c r="G79" s="5">
        <f>SUMIFS(EXPENSES!D:D, EXPENSES!F:F, Data_Consolidado!A79, EXPENSES!E:E, "Shared")</f>
        <v>7000</v>
      </c>
      <c r="H79" s="5">
        <f t="shared" si="4"/>
        <v>0</v>
      </c>
      <c r="I79" s="5">
        <f t="shared" si="5"/>
        <v>22333.46</v>
      </c>
      <c r="J79" s="5">
        <f>C79-I79</f>
        <v>-22333.46</v>
      </c>
      <c r="K79" s="18" t="str">
        <f t="shared" si="7"/>
        <v>-</v>
      </c>
      <c r="L79">
        <f>SUMIFS(Reference_Nights[[#All],[Available_nights]], Reference_Nights[[#All],[Month]], Table2[[#This Row],[Month]], Reference_Nights[[#All],[Apt]], Table2[[#This Row],[Apt]])</f>
        <v>27</v>
      </c>
      <c r="M79" s="18">
        <f>IF(Table2[[#This Row],[Available _Nights]]=0, 0, Table2[[#This Row],[Booked_Nights]]/Table2[[#This Row],[Available _Nights]])</f>
        <v>0</v>
      </c>
      <c r="N79" s="29">
        <f>IF(Table2[[#This Row],[Booked_Nights]]=0, 0, Table2[[#This Row],[Income]]/Table2[[#This Row],[Booked_Nights]])</f>
        <v>0</v>
      </c>
      <c r="O79" s="29">
        <f>IF(L79=0,0, Table2[[#This Row],[Income]]/Table2[[#This Row],[Available _Nights]])</f>
        <v>0</v>
      </c>
      <c r="P79" s="30">
        <f>IF(Table2[[#This Row],[Income]]=0,0,Table2[[#This Row],[Total_Exp]]/Table2[[#This Row],[Income]])</f>
        <v>0</v>
      </c>
    </row>
    <row r="80" spans="1:16" x14ac:dyDescent="0.2">
      <c r="A80" s="13" t="s">
        <v>1115</v>
      </c>
      <c r="B80" t="s">
        <v>297</v>
      </c>
      <c r="C80" s="5">
        <f>SUMIFS(Table1[FULL AMOUNT mxn pesos], Table1[Month], A80, Table1[APARTMENT], B80)</f>
        <v>59084</v>
      </c>
      <c r="D80">
        <f>SUMIFS(INCOME!C:C, INCOME!D:D, Table2[[#This Row],[Apt]], INCOME!J:J, Table2[[#This Row],[Month]])</f>
        <v>66</v>
      </c>
      <c r="E80" s="5">
        <f>SUMIFS(EXPENSES!$D:$D, EXPENSES!$C:$C, B80, EXPENSES!$F:$F, A80, EXPENSES!$E:$E, "Direct")</f>
        <v>33722</v>
      </c>
      <c r="F80" s="18">
        <f t="shared" si="9"/>
        <v>0.70001421733567126</v>
      </c>
      <c r="G80" s="5">
        <f>SUMIFS(EXPENSES!D:D, EXPENSES!F:F, Data_Consolidado!A80, EXPENSES!E:E, "Shared")</f>
        <v>7000</v>
      </c>
      <c r="H80" s="5">
        <f>G80*F80</f>
        <v>4900.099521349699</v>
      </c>
      <c r="I80" s="5">
        <f>E80+H80</f>
        <v>38622.099521349701</v>
      </c>
      <c r="J80" s="5">
        <f>C80-I80</f>
        <v>20461.900478650299</v>
      </c>
      <c r="K80" s="18">
        <f>IF(C80=0, "-", (J80/C80))</f>
        <v>0.34631880845322421</v>
      </c>
      <c r="L80">
        <f>SUMIFS(Reference_Nights[[#All],[Available_nights]], Reference_Nights[[#All],[Month]], Table2[[#This Row],[Month]], Reference_Nights[[#All],[Apt]], Table2[[#This Row],[Apt]])</f>
        <v>27</v>
      </c>
      <c r="M80" s="18">
        <f>IF(Table2[[#This Row],[Available _Nights]]=0, 0, Table2[[#This Row],[Booked_Nights]]/Table2[[#This Row],[Available _Nights]])</f>
        <v>2.4444444444444446</v>
      </c>
      <c r="N80" s="29">
        <f>IF(Table2[[#This Row],[Booked_Nights]]=0, 0, Table2[[#This Row],[Income]]/Table2[[#This Row],[Booked_Nights]])</f>
        <v>895.21212121212125</v>
      </c>
      <c r="O80" s="29">
        <f>IF(L80=0,0, Table2[[#This Row],[Income]]/Table2[[#This Row],[Available _Nights]])</f>
        <v>2188.2962962962961</v>
      </c>
      <c r="P80" s="30">
        <f>IF(Table2[[#This Row],[Income]]=0,0,Table2[[#This Row],[Total_Exp]]/Table2[[#This Row],[Income]])</f>
        <v>0.65368119154677584</v>
      </c>
    </row>
    <row r="81" spans="1:16" x14ac:dyDescent="0.2">
      <c r="A81" s="13" t="s">
        <v>1116</v>
      </c>
      <c r="B81" t="s">
        <v>295</v>
      </c>
      <c r="C81" s="5">
        <f>SUMIFS(Table1[FULL AMOUNT mxn pesos], Table1[Month], A81, Table1[APARTMENT], B81)</f>
        <v>4760</v>
      </c>
      <c r="D81">
        <f>SUMIFS(INCOME!C:C, INCOME!D:D, Table2[[#This Row],[Apt]], INCOME!J:J, Table2[[#This Row],[Month]])</f>
        <v>2</v>
      </c>
      <c r="E81" s="5">
        <f>SUMIFS(EXPENSES!$D:$D, EXPENSES!$C:$C, B81, EXPENSES!$F:$F, A81, EXPENSES!$E:$E, "Direct")</f>
        <v>31852</v>
      </c>
      <c r="F81" s="18">
        <f t="shared" si="9"/>
        <v>5.2587968844942816E-2</v>
      </c>
      <c r="G81" s="5">
        <f>SUMIFS(EXPENSES!D:D, EXPENSES!F:F, Data_Consolidado!A81, EXPENSES!E:E, "Shared")</f>
        <v>3200</v>
      </c>
      <c r="H81" s="5">
        <f t="shared" si="4"/>
        <v>168.28150030381701</v>
      </c>
      <c r="I81" s="5">
        <f t="shared" si="5"/>
        <v>32020.281500303816</v>
      </c>
      <c r="J81" s="5">
        <f t="shared" si="6"/>
        <v>-27260.281500303816</v>
      </c>
      <c r="K81" s="18">
        <f t="shared" si="7"/>
        <v>-5.7269498950218098</v>
      </c>
      <c r="L81">
        <f>SUMIFS(Reference_Nights[[#All],[Available_nights]], Reference_Nights[[#All],[Month]], Table2[[#This Row],[Month]], Reference_Nights[[#All],[Apt]], Table2[[#This Row],[Apt]])</f>
        <v>28</v>
      </c>
      <c r="M81" s="18">
        <f>IF(Table2[[#This Row],[Available _Nights]]=0, 0, Table2[[#This Row],[Booked_Nights]]/Table2[[#This Row],[Available _Nights]])</f>
        <v>7.1428571428571425E-2</v>
      </c>
      <c r="N81" s="29">
        <f>IF(Table2[[#This Row],[Booked_Nights]]=0, 0, Table2[[#This Row],[Income]]/Table2[[#This Row],[Booked_Nights]])</f>
        <v>2380</v>
      </c>
      <c r="O81" s="29">
        <f>IF(L81=0,0, Table2[[#This Row],[Income]]/Table2[[#This Row],[Available _Nights]])</f>
        <v>170</v>
      </c>
      <c r="P81" s="30">
        <f>IF(Table2[[#This Row],[Income]]=0,0,Table2[[#This Row],[Total_Exp]]/Table2[[#This Row],[Income]])</f>
        <v>6.7269498950218098</v>
      </c>
    </row>
    <row r="82" spans="1:16" x14ac:dyDescent="0.2">
      <c r="A82" s="13" t="s">
        <v>1116</v>
      </c>
      <c r="B82" t="s">
        <v>296</v>
      </c>
      <c r="C82" s="5">
        <f>SUMIFS(Table1[FULL AMOUNT mxn pesos], Table1[Month], A82, Table1[APARTMENT], B82)</f>
        <v>10216.799999999999</v>
      </c>
      <c r="D82">
        <f>SUMIFS(INCOME!C:C, INCOME!D:D, Table2[[#This Row],[Apt]], INCOME!J:J, Table2[[#This Row],[Month]])</f>
        <v>3</v>
      </c>
      <c r="E82" s="5">
        <f>SUMIFS(EXPENSES!$D:$D, EXPENSES!$C:$C, B82, EXPENSES!$F:$F, A82, EXPENSES!$E:$E, "Direct")</f>
        <v>24773.809999999998</v>
      </c>
      <c r="F82" s="18">
        <f t="shared" si="9"/>
        <v>0.11287410926365793</v>
      </c>
      <c r="G82" s="5">
        <f>SUMIFS(EXPENSES!D:D, EXPENSES!F:F, Data_Consolidado!A82, EXPENSES!E:E, "Shared")</f>
        <v>3200</v>
      </c>
      <c r="H82" s="5">
        <f t="shared" si="4"/>
        <v>361.19714964370536</v>
      </c>
      <c r="I82" s="5">
        <f t="shared" si="5"/>
        <v>25135.007149643701</v>
      </c>
      <c r="J82" s="5">
        <f t="shared" si="6"/>
        <v>-14918.207149643702</v>
      </c>
      <c r="K82" s="18">
        <f t="shared" si="7"/>
        <v>-1.4601643518169782</v>
      </c>
      <c r="L82">
        <f>SUMIFS(Reference_Nights[[#All],[Available_nights]], Reference_Nights[[#All],[Month]], Table2[[#This Row],[Month]], Reference_Nights[[#All],[Apt]], Table2[[#This Row],[Apt]])</f>
        <v>28</v>
      </c>
      <c r="M82" s="18">
        <f>IF(Table2[[#This Row],[Available _Nights]]=0, 0, Table2[[#This Row],[Booked_Nights]]/Table2[[#This Row],[Available _Nights]])</f>
        <v>0.10714285714285714</v>
      </c>
      <c r="N82" s="29">
        <f>IF(Table2[[#This Row],[Booked_Nights]]=0, 0, Table2[[#This Row],[Income]]/Table2[[#This Row],[Booked_Nights]])</f>
        <v>3405.6</v>
      </c>
      <c r="O82" s="29">
        <f>IF(L82=0,0, Table2[[#This Row],[Income]]/Table2[[#This Row],[Available _Nights]])</f>
        <v>364.88571428571424</v>
      </c>
      <c r="P82" s="30">
        <f>IF(Table2[[#This Row],[Income]]=0,0,Table2[[#This Row],[Total_Exp]]/Table2[[#This Row],[Income]])</f>
        <v>2.460164351816978</v>
      </c>
    </row>
    <row r="83" spans="1:16" x14ac:dyDescent="0.2">
      <c r="A83" s="13" t="s">
        <v>1116</v>
      </c>
      <c r="B83" t="s">
        <v>297</v>
      </c>
      <c r="C83" s="5">
        <f>SUMIFS(Table1[FULL AMOUNT mxn pesos], Table1[Month], A83, Table1[APARTMENT], B83)</f>
        <v>75538.200000000012</v>
      </c>
      <c r="D83">
        <f>SUMIFS(INCOME!C:C, INCOME!D:D, Table2[[#This Row],[Apt]], INCOME!J:J, Table2[[#This Row],[Month]])</f>
        <v>58</v>
      </c>
      <c r="E83" s="5">
        <f>SUMIFS(EXPENSES!$D:$D, EXPENSES!$C:$C, B83, EXPENSES!$F:$F, A83, EXPENSES!$E:$E, "Direct")</f>
        <v>30062</v>
      </c>
      <c r="F83" s="18">
        <f t="shared" si="9"/>
        <v>0.83453792189139919</v>
      </c>
      <c r="G83" s="5">
        <f>SUMIFS(EXPENSES!D:D, EXPENSES!F:F, Data_Consolidado!A83, EXPENSES!E:E, "Shared")</f>
        <v>3200</v>
      </c>
      <c r="H83" s="5">
        <f>G83*F83</f>
        <v>2670.5213500524774</v>
      </c>
      <c r="I83" s="5">
        <f>E83+H83</f>
        <v>32732.521350052477</v>
      </c>
      <c r="J83" s="5">
        <f>C83-I83</f>
        <v>42805.678649947535</v>
      </c>
      <c r="K83" s="18">
        <f>IF(C83=0, "-", (J83/C83))</f>
        <v>0.56667591562874853</v>
      </c>
      <c r="L83">
        <f>SUMIFS(Reference_Nights[[#All],[Available_nights]], Reference_Nights[[#All],[Month]], Table2[[#This Row],[Month]], Reference_Nights[[#All],[Apt]], Table2[[#This Row],[Apt]])</f>
        <v>28</v>
      </c>
      <c r="M83" s="18">
        <f>IF(Table2[[#This Row],[Available _Nights]]=0, 0, Table2[[#This Row],[Booked_Nights]]/Table2[[#This Row],[Available _Nights]])</f>
        <v>2.0714285714285716</v>
      </c>
      <c r="N83" s="29">
        <f>IF(Table2[[#This Row],[Booked_Nights]]=0, 0, Table2[[#This Row],[Income]]/Table2[[#This Row],[Booked_Nights]])</f>
        <v>1302.3827586206899</v>
      </c>
      <c r="O83" s="29">
        <f>IF(L83=0,0, Table2[[#This Row],[Income]]/Table2[[#This Row],[Available _Nights]])</f>
        <v>2697.7928571428574</v>
      </c>
      <c r="P83" s="30">
        <f>IF(Table2[[#This Row],[Income]]=0,0,Table2[[#This Row],[Total_Exp]]/Table2[[#This Row],[Income]])</f>
        <v>0.43332408437125153</v>
      </c>
    </row>
    <row r="84" spans="1:16" x14ac:dyDescent="0.2">
      <c r="A84" s="13" t="s">
        <v>1117</v>
      </c>
      <c r="B84" t="s">
        <v>295</v>
      </c>
      <c r="C84" s="5">
        <f>SUMIFS(Table1[FULL AMOUNT mxn pesos], Table1[Month], A84, Table1[APARTMENT], B84)</f>
        <v>15008.6</v>
      </c>
      <c r="D84">
        <f>SUMIFS(INCOME!C:C, INCOME!D:D, Table2[[#This Row],[Apt]], INCOME!J:J, Table2[[#This Row],[Month]])</f>
        <v>7</v>
      </c>
      <c r="E84" s="5">
        <f>SUMIFS(EXPENSES!$D:$D, EXPENSES!$C:$C, B84, EXPENSES!$F:$F, A84, EXPENSES!$E:$E, "Direct")</f>
        <v>29086</v>
      </c>
      <c r="F84" s="18">
        <f t="shared" si="9"/>
        <v>0.32623703407440902</v>
      </c>
      <c r="G84" s="5">
        <f>SUMIFS(EXPENSES!D:D, EXPENSES!F:F, Data_Consolidado!A84, EXPENSES!E:E, "Shared")</f>
        <v>700</v>
      </c>
      <c r="H84" s="5">
        <f t="shared" si="4"/>
        <v>228.3659238520863</v>
      </c>
      <c r="I84" s="5">
        <f t="shared" si="5"/>
        <v>29314.365923852085</v>
      </c>
      <c r="J84" s="5">
        <f t="shared" si="6"/>
        <v>-14305.765923852085</v>
      </c>
      <c r="K84" s="18">
        <f t="shared" si="7"/>
        <v>-0.95317124341058357</v>
      </c>
      <c r="L84">
        <f>SUMIFS(Reference_Nights[[#All],[Available_nights]], Reference_Nights[[#All],[Month]], Table2[[#This Row],[Month]], Reference_Nights[[#All],[Apt]], Table2[[#This Row],[Apt]])</f>
        <v>27</v>
      </c>
      <c r="M84" s="18">
        <f>IF(Table2[[#This Row],[Available _Nights]]=0, 0, Table2[[#This Row],[Booked_Nights]]/Table2[[#This Row],[Available _Nights]])</f>
        <v>0.25925925925925924</v>
      </c>
      <c r="N84" s="29">
        <f>IF(Table2[[#This Row],[Booked_Nights]]=0, 0, Table2[[#This Row],[Income]]/Table2[[#This Row],[Booked_Nights]])</f>
        <v>2144.0857142857144</v>
      </c>
      <c r="O84" s="29">
        <f>IF(L84=0,0, Table2[[#This Row],[Income]]/Table2[[#This Row],[Available _Nights]])</f>
        <v>555.87407407407409</v>
      </c>
      <c r="P84" s="30">
        <f>IF(Table2[[#This Row],[Income]]=0,0,Table2[[#This Row],[Total_Exp]]/Table2[[#This Row],[Income]])</f>
        <v>1.9531712434105835</v>
      </c>
    </row>
    <row r="85" spans="1:16" x14ac:dyDescent="0.2">
      <c r="A85" s="13" t="s">
        <v>1117</v>
      </c>
      <c r="B85" t="s">
        <v>296</v>
      </c>
      <c r="C85" s="5">
        <f>SUMIFS(Table1[FULL AMOUNT mxn pesos], Table1[Month], A85, Table1[APARTMENT], B85)</f>
        <v>0</v>
      </c>
      <c r="D85">
        <f>SUMIFS(INCOME!C:C, INCOME!D:D, Table2[[#This Row],[Apt]], INCOME!J:J, Table2[[#This Row],[Month]])</f>
        <v>0</v>
      </c>
      <c r="E85" s="5">
        <f>SUMIFS(EXPENSES!$D:$D, EXPENSES!$C:$C, B85, EXPENSES!$F:$F, A85, EXPENSES!$E:$E, "Direct")</f>
        <v>13676.96</v>
      </c>
      <c r="F85" s="18">
        <f t="shared" si="9"/>
        <v>0</v>
      </c>
      <c r="G85" s="5">
        <f>SUMIFS(EXPENSES!D:D, EXPENSES!F:F, Data_Consolidado!A85, EXPENSES!E:E, "Shared")</f>
        <v>700</v>
      </c>
      <c r="H85" s="5">
        <f>G85*F85</f>
        <v>0</v>
      </c>
      <c r="I85" s="5">
        <f t="shared" si="5"/>
        <v>13676.96</v>
      </c>
      <c r="J85" s="5">
        <f t="shared" si="6"/>
        <v>-13676.96</v>
      </c>
      <c r="K85" s="18" t="str">
        <f t="shared" si="7"/>
        <v>-</v>
      </c>
      <c r="L85">
        <f>SUMIFS(Reference_Nights[[#All],[Available_nights]], Reference_Nights[[#All],[Month]], Table2[[#This Row],[Month]], Reference_Nights[[#All],[Apt]], Table2[[#This Row],[Apt]])</f>
        <v>27</v>
      </c>
      <c r="M85" s="18">
        <f>IF(Table2[[#This Row],[Available _Nights]]=0, 0, Table2[[#This Row],[Booked_Nights]]/Table2[[#This Row],[Available _Nights]])</f>
        <v>0</v>
      </c>
      <c r="N85" s="29">
        <f>IF(Table2[[#This Row],[Booked_Nights]]=0, 0, Table2[[#This Row],[Income]]/Table2[[#This Row],[Booked_Nights]])</f>
        <v>0</v>
      </c>
      <c r="O85" s="29">
        <f>IF(L85=0,0, Table2[[#This Row],[Income]]/Table2[[#This Row],[Available _Nights]])</f>
        <v>0</v>
      </c>
      <c r="P85" s="30">
        <f>IF(Table2[[#This Row],[Income]]=0,0,Table2[[#This Row],[Total_Exp]]/Table2[[#This Row],[Income]])</f>
        <v>0</v>
      </c>
    </row>
    <row r="86" spans="1:16" x14ac:dyDescent="0.2">
      <c r="A86" s="13" t="s">
        <v>1117</v>
      </c>
      <c r="B86" t="s">
        <v>297</v>
      </c>
      <c r="C86" s="5">
        <f>SUMIFS(Table1[FULL AMOUNT mxn pesos], Table1[Month], A86, Table1[APARTMENT], B86)</f>
        <v>30996.6</v>
      </c>
      <c r="D86">
        <f>SUMIFS(INCOME!C:C, INCOME!D:D, Table2[[#This Row],[Apt]], INCOME!J:J, Table2[[#This Row],[Month]])</f>
        <v>13</v>
      </c>
      <c r="E86" s="5">
        <f>SUMIFS(EXPENSES!$D:$D, EXPENSES!$C:$C, B86, EXPENSES!$F:$F, A86, EXPENSES!$E:$E, "Direct")</f>
        <v>26626</v>
      </c>
      <c r="F86" s="18">
        <f t="shared" si="9"/>
        <v>0.67376296592559104</v>
      </c>
      <c r="G86" s="5">
        <f>SUMIFS(EXPENSES!D:D, EXPENSES!F:F, Data_Consolidado!A86, EXPENSES!E:E, "Shared")</f>
        <v>700</v>
      </c>
      <c r="H86" s="5">
        <f>G86*F86</f>
        <v>471.63407614791373</v>
      </c>
      <c r="I86" s="5">
        <f>E86+H86</f>
        <v>27097.634076147915</v>
      </c>
      <c r="J86" s="5">
        <f>C86-I86</f>
        <v>3898.9659238520835</v>
      </c>
      <c r="K86" s="18">
        <f>IF(C86=0, "-", (J86/C86))</f>
        <v>0.12578689029932585</v>
      </c>
      <c r="L86">
        <f>SUMIFS(Reference_Nights[[#All],[Available_nights]], Reference_Nights[[#All],[Month]], Table2[[#This Row],[Month]], Reference_Nights[[#All],[Apt]], Table2[[#This Row],[Apt]])</f>
        <v>27</v>
      </c>
      <c r="M86" s="18">
        <f>IF(Table2[[#This Row],[Available _Nights]]=0, 0, Table2[[#This Row],[Booked_Nights]]/Table2[[#This Row],[Available _Nights]])</f>
        <v>0.48148148148148145</v>
      </c>
      <c r="N86" s="29">
        <f>IF(Table2[[#This Row],[Booked_Nights]]=0, 0, Table2[[#This Row],[Income]]/Table2[[#This Row],[Booked_Nights]])</f>
        <v>2384.353846153846</v>
      </c>
      <c r="O86" s="29">
        <f>IF(L86=0,0, Table2[[#This Row],[Income]]/Table2[[#This Row],[Available _Nights]])</f>
        <v>1148.0222222222221</v>
      </c>
      <c r="P86" s="30">
        <f>IF(Table2[[#This Row],[Income]]=0,0,Table2[[#This Row],[Total_Exp]]/Table2[[#This Row],[Income]])</f>
        <v>0.87421310970067412</v>
      </c>
    </row>
    <row r="87" spans="1:16" x14ac:dyDescent="0.2">
      <c r="A87" s="13" t="s">
        <v>1118</v>
      </c>
      <c r="B87" t="s">
        <v>295</v>
      </c>
      <c r="C87" s="5">
        <f>SUMIFS(Table1[FULL AMOUNT mxn pesos], Table1[Month], A87, Table1[APARTMENT], B87)</f>
        <v>16806.400000000001</v>
      </c>
      <c r="D87">
        <f>SUMIFS(INCOME!C:C, INCOME!D:D, Table2[[#This Row],[Apt]], INCOME!J:J, Table2[[#This Row],[Month]])</f>
        <v>8</v>
      </c>
      <c r="E87" s="5">
        <f>SUMIFS(EXPENSES!$D:$D, EXPENSES!$C:$C, B87, EXPENSES!$F:$F, A87, EXPENSES!$E:$E, "Direct")</f>
        <v>27384</v>
      </c>
      <c r="F87" s="18">
        <f t="shared" si="9"/>
        <v>0.31942950328621011</v>
      </c>
      <c r="G87" s="5">
        <f>SUMIFS(EXPENSES!D:D, EXPENSES!F:F, Data_Consolidado!A87, EXPENSES!E:E, "Shared")</f>
        <v>2600</v>
      </c>
      <c r="H87" s="5">
        <f t="shared" si="4"/>
        <v>830.51670854414635</v>
      </c>
      <c r="I87" s="5">
        <f t="shared" si="5"/>
        <v>28214.516708544146</v>
      </c>
      <c r="J87" s="5">
        <f t="shared" si="6"/>
        <v>-11408.116708544145</v>
      </c>
      <c r="K87" s="18">
        <f t="shared" si="7"/>
        <v>-0.6787959770411357</v>
      </c>
      <c r="L87">
        <f>SUMIFS(Reference_Nights[[#All],[Available_nights]], Reference_Nights[[#All],[Month]], Table2[[#This Row],[Month]], Reference_Nights[[#All],[Apt]], Table2[[#This Row],[Apt]])</f>
        <v>28</v>
      </c>
      <c r="M87" s="18">
        <f>IF(Table2[[#This Row],[Available _Nights]]=0, 0, Table2[[#This Row],[Booked_Nights]]/Table2[[#This Row],[Available _Nights]])</f>
        <v>0.2857142857142857</v>
      </c>
      <c r="N87" s="29">
        <f>IF(Table2[[#This Row],[Booked_Nights]]=0, 0, Table2[[#This Row],[Income]]/Table2[[#This Row],[Booked_Nights]])</f>
        <v>2100.8000000000002</v>
      </c>
      <c r="O87" s="29">
        <f>IF(L87=0,0, Table2[[#This Row],[Income]]/Table2[[#This Row],[Available _Nights]])</f>
        <v>600.22857142857151</v>
      </c>
      <c r="P87" s="30">
        <f>IF(Table2[[#This Row],[Income]]=0,0,Table2[[#This Row],[Total_Exp]]/Table2[[#This Row],[Income]])</f>
        <v>1.6787959770411358</v>
      </c>
    </row>
    <row r="88" spans="1:16" x14ac:dyDescent="0.2">
      <c r="A88" s="13" t="s">
        <v>1118</v>
      </c>
      <c r="B88" t="s">
        <v>296</v>
      </c>
      <c r="C88" s="5">
        <f>SUMIFS(Table1[FULL AMOUNT mxn pesos], Table1[Month], A88, Table1[APARTMENT], B88)</f>
        <v>6605.4</v>
      </c>
      <c r="D88">
        <f>SUMIFS(INCOME!C:C, INCOME!D:D, Table2[[#This Row],[Apt]], INCOME!J:J, Table2[[#This Row],[Month]])</f>
        <v>3</v>
      </c>
      <c r="E88" s="5">
        <f>SUMIFS(EXPENSES!$D:$D, EXPENSES!$C:$C, B88, EXPENSES!$F:$F, A88, EXPENSES!$E:$E, "Direct")</f>
        <v>15253.8</v>
      </c>
      <c r="F88" s="18">
        <f t="shared" si="9"/>
        <v>0.12554500910407534</v>
      </c>
      <c r="G88" s="5">
        <f>SUMIFS(EXPENSES!D:D, EXPENSES!F:F, Data_Consolidado!A88, EXPENSES!E:E, "Shared")</f>
        <v>2600</v>
      </c>
      <c r="H88" s="5">
        <f t="shared" si="4"/>
        <v>326.41702367059588</v>
      </c>
      <c r="I88" s="5">
        <f t="shared" si="5"/>
        <v>15580.217023670595</v>
      </c>
      <c r="J88" s="5">
        <f t="shared" si="6"/>
        <v>-8974.8170236705955</v>
      </c>
      <c r="K88" s="18">
        <f t="shared" si="7"/>
        <v>-1.3587090900885028</v>
      </c>
      <c r="L88">
        <f>SUMIFS(Reference_Nights[[#All],[Available_nights]], Reference_Nights[[#All],[Month]], Table2[[#This Row],[Month]], Reference_Nights[[#All],[Apt]], Table2[[#This Row],[Apt]])</f>
        <v>28</v>
      </c>
      <c r="M88" s="18">
        <f>IF(Table2[[#This Row],[Available _Nights]]=0, 0, Table2[[#This Row],[Booked_Nights]]/Table2[[#This Row],[Available _Nights]])</f>
        <v>0.10714285714285714</v>
      </c>
      <c r="N88" s="29">
        <f>IF(Table2[[#This Row],[Booked_Nights]]=0, 0, Table2[[#This Row],[Income]]/Table2[[#This Row],[Booked_Nights]])</f>
        <v>2201.7999999999997</v>
      </c>
      <c r="O88" s="29">
        <f>IF(L88=0,0, Table2[[#This Row],[Income]]/Table2[[#This Row],[Available _Nights]])</f>
        <v>235.90714285714284</v>
      </c>
      <c r="P88" s="30">
        <f>IF(Table2[[#This Row],[Income]]=0,0,Table2[[#This Row],[Total_Exp]]/Table2[[#This Row],[Income]])</f>
        <v>2.3587090900885026</v>
      </c>
    </row>
    <row r="89" spans="1:16" x14ac:dyDescent="0.2">
      <c r="A89" s="13" t="s">
        <v>1118</v>
      </c>
      <c r="B89" t="s">
        <v>297</v>
      </c>
      <c r="C89" s="5">
        <f>SUMIFS(Table1[FULL AMOUNT mxn pesos], Table1[Month], A89, Table1[APARTMENT], B89)</f>
        <v>29202</v>
      </c>
      <c r="D89">
        <f>SUMIFS(INCOME!C:C, INCOME!D:D, Table2[[#This Row],[Apt]], INCOME!J:J, Table2[[#This Row],[Month]])</f>
        <v>10</v>
      </c>
      <c r="E89" s="5">
        <f>SUMIFS(EXPENSES!$D:$D, EXPENSES!$C:$C, B89, EXPENSES!$F:$F, A89, EXPENSES!$E:$E, "Direct")</f>
        <v>28444</v>
      </c>
      <c r="F89" s="18">
        <f t="shared" si="9"/>
        <v>0.55502548760971449</v>
      </c>
      <c r="G89" s="5">
        <f>SUMIFS(EXPENSES!D:D, EXPENSES!F:F, Data_Consolidado!A89, EXPENSES!E:E, "Shared")</f>
        <v>2600</v>
      </c>
      <c r="H89" s="5">
        <f>G89*F89</f>
        <v>1443.0662677852577</v>
      </c>
      <c r="I89" s="5">
        <f>E89+H89</f>
        <v>29887.066267785256</v>
      </c>
      <c r="J89" s="5">
        <f>C89-I89</f>
        <v>-685.06626778525606</v>
      </c>
      <c r="K89" s="18">
        <f>IF(C89=0, "-", (J89/C89))</f>
        <v>-2.3459566734650231E-2</v>
      </c>
      <c r="L89">
        <f>SUMIFS(Reference_Nights[[#All],[Available_nights]], Reference_Nights[[#All],[Month]], Table2[[#This Row],[Month]], Reference_Nights[[#All],[Apt]], Table2[[#This Row],[Apt]])</f>
        <v>28</v>
      </c>
      <c r="M89" s="18">
        <f>IF(Table2[[#This Row],[Available _Nights]]=0, 0, Table2[[#This Row],[Booked_Nights]]/Table2[[#This Row],[Available _Nights]])</f>
        <v>0.35714285714285715</v>
      </c>
      <c r="N89" s="29">
        <f>IF(Table2[[#This Row],[Booked_Nights]]=0, 0, Table2[[#This Row],[Income]]/Table2[[#This Row],[Booked_Nights]])</f>
        <v>2920.2</v>
      </c>
      <c r="O89" s="29">
        <f>IF(L89=0,0, Table2[[#This Row],[Income]]/Table2[[#This Row],[Available _Nights]])</f>
        <v>1042.9285714285713</v>
      </c>
      <c r="P89" s="30">
        <f>IF(Table2[[#This Row],[Income]]=0,0,Table2[[#This Row],[Total_Exp]]/Table2[[#This Row],[Income]])</f>
        <v>1.0234595667346502</v>
      </c>
    </row>
    <row r="90" spans="1:16" x14ac:dyDescent="0.2">
      <c r="A90" s="13" t="s">
        <v>1119</v>
      </c>
      <c r="B90" t="s">
        <v>295</v>
      </c>
      <c r="C90" s="5">
        <f>SUMIFS(Table1[FULL AMOUNT mxn pesos], Table1[Month], A90, Table1[APARTMENT], B90)</f>
        <v>12008.599999999999</v>
      </c>
      <c r="D90">
        <f>SUMIFS(INCOME!C:C, INCOME!D:D, Table2[[#This Row],[Apt]], INCOME!J:J, Table2[[#This Row],[Month]])</f>
        <v>4</v>
      </c>
      <c r="E90" s="5">
        <f>SUMIFS(EXPENSES!$D:$D, EXPENSES!$C:$C, B90, EXPENSES!$F:$F, A90, EXPENSES!$E:$E, "Direct")</f>
        <v>27042</v>
      </c>
      <c r="F90" s="18">
        <f t="shared" si="9"/>
        <v>0.14459064397898191</v>
      </c>
      <c r="G90" s="5">
        <f>SUMIFS(EXPENSES!D:D, EXPENSES!F:F, Data_Consolidado!A90, EXPENSES!E:E, "Shared")</f>
        <v>6080</v>
      </c>
      <c r="H90" s="5">
        <f t="shared" si="4"/>
        <v>879.11111539221008</v>
      </c>
      <c r="I90" s="5">
        <f t="shared" si="5"/>
        <v>27921.11111539221</v>
      </c>
      <c r="J90" s="5">
        <f t="shared" si="6"/>
        <v>-15912.511115392212</v>
      </c>
      <c r="K90" s="18">
        <f t="shared" si="7"/>
        <v>-1.325092943006863</v>
      </c>
      <c r="L90">
        <f>SUMIFS(Reference_Nights[[#All],[Available_nights]], Reference_Nights[[#All],[Month]], Table2[[#This Row],[Month]], Reference_Nights[[#All],[Apt]], Table2[[#This Row],[Apt]])</f>
        <v>28</v>
      </c>
      <c r="M90" s="18">
        <f>IF(Table2[[#This Row],[Available _Nights]]=0, 0, Table2[[#This Row],[Booked_Nights]]/Table2[[#This Row],[Available _Nights]])</f>
        <v>0.14285714285714285</v>
      </c>
      <c r="N90" s="29">
        <f>IF(Table2[[#This Row],[Booked_Nights]]=0, 0, Table2[[#This Row],[Income]]/Table2[[#This Row],[Booked_Nights]])</f>
        <v>3002.1499999999996</v>
      </c>
      <c r="O90" s="29">
        <f>IF(L90=0,0, Table2[[#This Row],[Income]]/Table2[[#This Row],[Available _Nights]])</f>
        <v>428.87857142857138</v>
      </c>
      <c r="P90" s="30">
        <f>IF(Table2[[#This Row],[Income]]=0,0,Table2[[#This Row],[Total_Exp]]/Table2[[#This Row],[Income]])</f>
        <v>2.325092943006863</v>
      </c>
    </row>
    <row r="91" spans="1:16" x14ac:dyDescent="0.2">
      <c r="A91" s="13" t="s">
        <v>1119</v>
      </c>
      <c r="B91" t="s">
        <v>296</v>
      </c>
      <c r="C91" s="5">
        <f>SUMIFS(Table1[FULL AMOUNT mxn pesos], Table1[Month], A91, Table1[APARTMENT], B91)</f>
        <v>28877.4</v>
      </c>
      <c r="D91">
        <f>SUMIFS(INCOME!C:C, INCOME!D:D, Table2[[#This Row],[Apt]], INCOME!J:J, Table2[[#This Row],[Month]])</f>
        <v>12</v>
      </c>
      <c r="E91" s="5">
        <f>SUMIFS(EXPENSES!$D:$D, EXPENSES!$C:$C, B91, EXPENSES!$F:$F, A91, EXPENSES!$E:$E, "Direct")</f>
        <v>20108.559999999998</v>
      </c>
      <c r="F91" s="18">
        <f t="shared" si="9"/>
        <v>0.34770096950840673</v>
      </c>
      <c r="G91" s="5">
        <f>SUMIFS(EXPENSES!D:D, EXPENSES!F:F, Data_Consolidado!A91, EXPENSES!E:E, "Shared")</f>
        <v>6080</v>
      </c>
      <c r="H91" s="5">
        <f t="shared" si="4"/>
        <v>2114.0218946111131</v>
      </c>
      <c r="I91" s="5">
        <f t="shared" si="5"/>
        <v>22222.58189461111</v>
      </c>
      <c r="J91" s="5">
        <f t="shared" si="6"/>
        <v>6654.8181053888911</v>
      </c>
      <c r="K91" s="18">
        <f t="shared" si="7"/>
        <v>0.23045073674876862</v>
      </c>
      <c r="L91">
        <f>SUMIFS(Reference_Nights[[#All],[Available_nights]], Reference_Nights[[#All],[Month]], Table2[[#This Row],[Month]], Reference_Nights[[#All],[Apt]], Table2[[#This Row],[Apt]])</f>
        <v>28</v>
      </c>
      <c r="M91" s="18">
        <f>IF(Table2[[#This Row],[Available _Nights]]=0, 0, Table2[[#This Row],[Booked_Nights]]/Table2[[#This Row],[Available _Nights]])</f>
        <v>0.42857142857142855</v>
      </c>
      <c r="N91" s="29">
        <f>IF(Table2[[#This Row],[Booked_Nights]]=0, 0, Table2[[#This Row],[Income]]/Table2[[#This Row],[Booked_Nights]])</f>
        <v>2406.4500000000003</v>
      </c>
      <c r="O91" s="29">
        <f>IF(L91=0,0, Table2[[#This Row],[Income]]/Table2[[#This Row],[Available _Nights]])</f>
        <v>1031.3357142857144</v>
      </c>
      <c r="P91" s="30">
        <f>IF(Table2[[#This Row],[Income]]=0,0,Table2[[#This Row],[Total_Exp]]/Table2[[#This Row],[Income]])</f>
        <v>0.76954926325123141</v>
      </c>
    </row>
    <row r="92" spans="1:16" x14ac:dyDescent="0.2">
      <c r="A92" s="13" t="s">
        <v>1119</v>
      </c>
      <c r="B92" t="s">
        <v>297</v>
      </c>
      <c r="C92" s="5">
        <f>SUMIFS(Table1[FULL AMOUNT mxn pesos], Table1[Month], A92, Table1[APARTMENT], B92)</f>
        <v>42166.400000000009</v>
      </c>
      <c r="D92">
        <f>SUMIFS(INCOME!C:C, INCOME!D:D, Table2[[#This Row],[Apt]], INCOME!J:J, Table2[[#This Row],[Month]])</f>
        <v>24</v>
      </c>
      <c r="E92" s="5">
        <f>SUMIFS(EXPENSES!$D:$D, EXPENSES!$C:$C, B92, EXPENSES!$F:$F, A92, EXPENSES!$E:$E, "Direct")</f>
        <v>29452</v>
      </c>
      <c r="F92" s="18">
        <f t="shared" si="9"/>
        <v>0.50770838651261141</v>
      </c>
      <c r="G92" s="5">
        <f>SUMIFS(EXPENSES!D:D, EXPENSES!F:F, Data_Consolidado!A92, EXPENSES!E:E, "Shared")</f>
        <v>6080</v>
      </c>
      <c r="H92" s="5">
        <f>G92*F92</f>
        <v>3086.8669899966771</v>
      </c>
      <c r="I92" s="5">
        <f>E92+H92</f>
        <v>32538.866989996677</v>
      </c>
      <c r="J92" s="5">
        <f>C92-I92</f>
        <v>9627.5330100033316</v>
      </c>
      <c r="K92" s="18">
        <f>IF(C92=0, "-", (J92/C92))</f>
        <v>0.22832238488472645</v>
      </c>
      <c r="L92">
        <f>SUMIFS(Reference_Nights[[#All],[Available_nights]], Reference_Nights[[#All],[Month]], Table2[[#This Row],[Month]], Reference_Nights[[#All],[Apt]], Table2[[#This Row],[Apt]])</f>
        <v>28</v>
      </c>
      <c r="M92" s="18">
        <f>IF(Table2[[#This Row],[Available _Nights]]=0, 0, Table2[[#This Row],[Booked_Nights]]/Table2[[#This Row],[Available _Nights]])</f>
        <v>0.8571428571428571</v>
      </c>
      <c r="N92" s="29">
        <f>IF(Table2[[#This Row],[Booked_Nights]]=0, 0, Table2[[#This Row],[Income]]/Table2[[#This Row],[Booked_Nights]])</f>
        <v>1756.9333333333336</v>
      </c>
      <c r="O92" s="29">
        <f>IF(L92=0,0, Table2[[#This Row],[Income]]/Table2[[#This Row],[Available _Nights]])</f>
        <v>1505.9428571428575</v>
      </c>
      <c r="P92" s="30">
        <f>IF(Table2[[#This Row],[Income]]=0,0,Table2[[#This Row],[Total_Exp]]/Table2[[#This Row],[Income]])</f>
        <v>0.77167761511527355</v>
      </c>
    </row>
    <row r="93" spans="1:16" x14ac:dyDescent="0.2">
      <c r="A93" s="13" t="s">
        <v>1120</v>
      </c>
      <c r="B93" t="s">
        <v>295</v>
      </c>
      <c r="C93" s="5">
        <f>SUMIFS(Table1[FULL AMOUNT mxn pesos], Table1[Month], A93, Table1[APARTMENT], B93)</f>
        <v>10660</v>
      </c>
      <c r="D93">
        <f>SUMIFS(INCOME!C:C, INCOME!D:D, Table2[[#This Row],[Apt]], INCOME!J:J, Table2[[#This Row],[Month]])</f>
        <v>4</v>
      </c>
      <c r="E93" s="5">
        <f>SUMIFS(EXPENSES!$D:$D, EXPENSES!$C:$C, B93, EXPENSES!$F:$F, A93, EXPENSES!$E:$E, "Direct")</f>
        <v>29762</v>
      </c>
      <c r="F93" s="18">
        <f t="shared" si="9"/>
        <v>1</v>
      </c>
      <c r="G93" s="5">
        <f>SUMIFS(EXPENSES!D:D, EXPENSES!F:F, Data_Consolidado!A93, EXPENSES!E:E, "Shared")</f>
        <v>4000</v>
      </c>
      <c r="H93" s="5">
        <f t="shared" si="4"/>
        <v>4000</v>
      </c>
      <c r="I93" s="5">
        <f t="shared" si="5"/>
        <v>33762</v>
      </c>
      <c r="J93" s="5">
        <f t="shared" si="6"/>
        <v>-23102</v>
      </c>
      <c r="K93" s="18">
        <f t="shared" si="7"/>
        <v>-2.1671669793621011</v>
      </c>
      <c r="L93">
        <f>SUMIFS(Reference_Nights[[#All],[Available_nights]], Reference_Nights[[#All],[Month]], Table2[[#This Row],[Month]], Reference_Nights[[#All],[Apt]], Table2[[#This Row],[Apt]])</f>
        <v>27</v>
      </c>
      <c r="M93" s="18">
        <f>IF(Table2[[#This Row],[Available _Nights]]=0, 0, Table2[[#This Row],[Booked_Nights]]/Table2[[#This Row],[Available _Nights]])</f>
        <v>0.14814814814814814</v>
      </c>
      <c r="N93" s="29">
        <f>IF(Table2[[#This Row],[Booked_Nights]]=0, 0, Table2[[#This Row],[Income]]/Table2[[#This Row],[Booked_Nights]])</f>
        <v>2665</v>
      </c>
      <c r="O93" s="29">
        <f>IF(L93=0,0, Table2[[#This Row],[Income]]/Table2[[#This Row],[Available _Nights]])</f>
        <v>394.81481481481484</v>
      </c>
      <c r="P93" s="30">
        <f>IF(Table2[[#This Row],[Income]]=0,0,Table2[[#This Row],[Total_Exp]]/Table2[[#This Row],[Income]])</f>
        <v>3.1671669793621011</v>
      </c>
    </row>
    <row r="94" spans="1:16" x14ac:dyDescent="0.2">
      <c r="A94" s="13" t="s">
        <v>1120</v>
      </c>
      <c r="B94" t="s">
        <v>296</v>
      </c>
      <c r="C94" s="5">
        <f>SUMIFS(Table1[FULL AMOUNT mxn pesos], Table1[Month], A94, Table1[APARTMENT], B94)</f>
        <v>0</v>
      </c>
      <c r="D94">
        <f>SUMIFS(INCOME!C:C, INCOME!D:D, Table2[[#This Row],[Apt]], INCOME!J:J, Table2[[#This Row],[Month]])</f>
        <v>0</v>
      </c>
      <c r="E94" s="5">
        <f>SUMIFS(EXPENSES!$D:$D, EXPENSES!$C:$C, B94, EXPENSES!$F:$F, A94, EXPENSES!$E:$E, "Direct")</f>
        <v>14285.05</v>
      </c>
      <c r="F94" s="18">
        <f t="shared" si="9"/>
        <v>0</v>
      </c>
      <c r="G94" s="5">
        <f>SUMIFS(EXPENSES!D:D, EXPENSES!F:F, Data_Consolidado!A94, EXPENSES!E:E, "Shared")</f>
        <v>4000</v>
      </c>
      <c r="H94" s="5">
        <f t="shared" si="4"/>
        <v>0</v>
      </c>
      <c r="I94" s="5">
        <f t="shared" si="5"/>
        <v>14285.05</v>
      </c>
      <c r="J94" s="5">
        <f t="shared" si="6"/>
        <v>-14285.05</v>
      </c>
      <c r="K94" s="18" t="str">
        <f t="shared" si="7"/>
        <v>-</v>
      </c>
      <c r="L94">
        <f>SUMIFS(Reference_Nights[[#All],[Available_nights]], Reference_Nights[[#All],[Month]], Table2[[#This Row],[Month]], Reference_Nights[[#All],[Apt]], Table2[[#This Row],[Apt]])</f>
        <v>27</v>
      </c>
      <c r="M94" s="18">
        <f>IF(Table2[[#This Row],[Available _Nights]]=0, 0, Table2[[#This Row],[Booked_Nights]]/Table2[[#This Row],[Available _Nights]])</f>
        <v>0</v>
      </c>
      <c r="N94" s="29">
        <f>IF(Table2[[#This Row],[Booked_Nights]]=0, 0, Table2[[#This Row],[Income]]/Table2[[#This Row],[Booked_Nights]])</f>
        <v>0</v>
      </c>
      <c r="O94" s="29">
        <f>IF(L94=0,0, Table2[[#This Row],[Income]]/Table2[[#This Row],[Available _Nights]])</f>
        <v>0</v>
      </c>
      <c r="P94" s="30">
        <f>IF(Table2[[#This Row],[Income]]=0,0,Table2[[#This Row],[Total_Exp]]/Table2[[#This Row],[Income]])</f>
        <v>0</v>
      </c>
    </row>
    <row r="95" spans="1:16" x14ac:dyDescent="0.2">
      <c r="A95" s="13" t="s">
        <v>1120</v>
      </c>
      <c r="B95" t="s">
        <v>297</v>
      </c>
      <c r="C95" s="5">
        <f>SUMIFS(Table1[FULL AMOUNT mxn pesos], Table1[Month], A95, Table1[APARTMENT], B95)</f>
        <v>0</v>
      </c>
      <c r="D95">
        <f>SUMIFS(INCOME!C:C, INCOME!D:D, Table2[[#This Row],[Apt]], INCOME!J:J, Table2[[#This Row],[Month]])</f>
        <v>0</v>
      </c>
      <c r="E95" s="5">
        <f>SUMIFS(EXPENSES!$D:$D, EXPENSES!$C:$C, B95, EXPENSES!$F:$F, A95, EXPENSES!$E:$E, "Direct")</f>
        <v>24572</v>
      </c>
      <c r="F95" s="18">
        <f t="shared" si="9"/>
        <v>0</v>
      </c>
      <c r="G95" s="5">
        <f>SUMIFS(EXPENSES!D:D, EXPENSES!F:F, Data_Consolidado!A95, EXPENSES!E:E, "Shared")</f>
        <v>4000</v>
      </c>
      <c r="H95" s="5">
        <f>G95*F95</f>
        <v>0</v>
      </c>
      <c r="I95" s="5">
        <f>E95+H95</f>
        <v>24572</v>
      </c>
      <c r="J95" s="5">
        <f>C95-I95</f>
        <v>-24572</v>
      </c>
      <c r="K95" s="18" t="str">
        <f>IF(C95=0, "-", (J95/C95))</f>
        <v>-</v>
      </c>
      <c r="L95">
        <f>SUMIFS(Reference_Nights[[#All],[Available_nights]], Reference_Nights[[#All],[Month]], Table2[[#This Row],[Month]], Reference_Nights[[#All],[Apt]], Table2[[#This Row],[Apt]])</f>
        <v>27</v>
      </c>
      <c r="M95" s="18">
        <f>IF(Table2[[#This Row],[Available _Nights]]=0, 0, Table2[[#This Row],[Booked_Nights]]/Table2[[#This Row],[Available _Nights]])</f>
        <v>0</v>
      </c>
      <c r="N95" s="29">
        <f>IF(Table2[[#This Row],[Booked_Nights]]=0, 0, Table2[[#This Row],[Income]]/Table2[[#This Row],[Booked_Nights]])</f>
        <v>0</v>
      </c>
      <c r="O95" s="29">
        <f>IF(L95=0,0, Table2[[#This Row],[Income]]/Table2[[#This Row],[Available _Nights]])</f>
        <v>0</v>
      </c>
      <c r="P95" s="30">
        <f>IF(Table2[[#This Row],[Income]]=0,0,Table2[[#This Row],[Total_Exp]]/Table2[[#This Row],[Income]])</f>
        <v>0</v>
      </c>
    </row>
    <row r="96" spans="1:16" x14ac:dyDescent="0.2">
      <c r="A96" s="13" t="s">
        <v>1121</v>
      </c>
      <c r="B96" t="s">
        <v>295</v>
      </c>
      <c r="C96" s="5">
        <f>SUMIFS(Table1[FULL AMOUNT mxn pesos], Table1[Month], A96, Table1[APARTMENT], B96)</f>
        <v>17056.599999999999</v>
      </c>
      <c r="D96">
        <f>SUMIFS(INCOME!C:C, INCOME!D:D, Table2[[#This Row],[Apt]], INCOME!J:J, Table2[[#This Row],[Month]])</f>
        <v>6</v>
      </c>
      <c r="E96" s="5">
        <f>SUMIFS(EXPENSES!$D:$D, EXPENSES!$C:$C, B96, EXPENSES!$F:$F, A96, EXPENSES!$E:$E, "Direct")</f>
        <v>31889</v>
      </c>
      <c r="F96" s="18">
        <f t="shared" si="9"/>
        <v>0.57904170881907613</v>
      </c>
      <c r="G96" s="5">
        <f>SUMIFS(EXPENSES!D:D, EXPENSES!F:F, Data_Consolidado!A96, EXPENSES!E:E, "Shared")</f>
        <v>10500</v>
      </c>
      <c r="H96" s="5">
        <f t="shared" si="4"/>
        <v>6079.9379426002997</v>
      </c>
      <c r="I96" s="5">
        <f t="shared" si="5"/>
        <v>37968.9379426003</v>
      </c>
      <c r="J96" s="5">
        <f t="shared" si="6"/>
        <v>-20912.337942600301</v>
      </c>
      <c r="K96" s="18">
        <f t="shared" si="7"/>
        <v>-1.2260554824877352</v>
      </c>
      <c r="L96">
        <f>SUMIFS(Reference_Nights[[#All],[Available_nights]], Reference_Nights[[#All],[Month]], Table2[[#This Row],[Month]], Reference_Nights[[#All],[Apt]], Table2[[#This Row],[Apt]])</f>
        <v>28</v>
      </c>
      <c r="M96" s="18">
        <f>IF(Table2[[#This Row],[Available _Nights]]=0, 0, Table2[[#This Row],[Booked_Nights]]/Table2[[#This Row],[Available _Nights]])</f>
        <v>0.21428571428571427</v>
      </c>
      <c r="N96" s="29">
        <f>IF(Table2[[#This Row],[Booked_Nights]]=0, 0, Table2[[#This Row],[Income]]/Table2[[#This Row],[Booked_Nights]])</f>
        <v>2842.7666666666664</v>
      </c>
      <c r="O96" s="29">
        <f>IF(L96=0,0, Table2[[#This Row],[Income]]/Table2[[#This Row],[Available _Nights]])</f>
        <v>609.16428571428571</v>
      </c>
      <c r="P96" s="30">
        <f>IF(Table2[[#This Row],[Income]]=0,0,Table2[[#This Row],[Total_Exp]]/Table2[[#This Row],[Income]])</f>
        <v>2.2260554824877352</v>
      </c>
    </row>
    <row r="97" spans="1:16" x14ac:dyDescent="0.2">
      <c r="A97" s="13" t="s">
        <v>1121</v>
      </c>
      <c r="B97" t="s">
        <v>296</v>
      </c>
      <c r="C97" s="5">
        <f>SUMIFS(Table1[FULL AMOUNT mxn pesos], Table1[Month], A97, Table1[APARTMENT], B97)</f>
        <v>0</v>
      </c>
      <c r="D97">
        <f>SUMIFS(INCOME!C:C, INCOME!D:D, Table2[[#This Row],[Apt]], INCOME!J:J, Table2[[#This Row],[Month]])</f>
        <v>0</v>
      </c>
      <c r="E97" s="5">
        <f>SUMIFS(EXPENSES!$D:$D, EXPENSES!$C:$C, B97, EXPENSES!$F:$F, A97, EXPENSES!$E:$E, "Direct")</f>
        <v>16974.89</v>
      </c>
      <c r="F97" s="18">
        <f t="shared" si="9"/>
        <v>0</v>
      </c>
      <c r="G97" s="5">
        <f>SUMIFS(EXPENSES!D:D, EXPENSES!F:F, Data_Consolidado!A97, EXPENSES!E:E, "Shared")</f>
        <v>10500</v>
      </c>
      <c r="H97" s="5">
        <f t="shared" si="4"/>
        <v>0</v>
      </c>
      <c r="I97" s="5">
        <f t="shared" si="5"/>
        <v>16974.89</v>
      </c>
      <c r="J97" s="5">
        <f t="shared" si="6"/>
        <v>-16974.89</v>
      </c>
      <c r="K97" s="18" t="str">
        <f t="shared" si="7"/>
        <v>-</v>
      </c>
      <c r="L97">
        <f>SUMIFS(Reference_Nights[[#All],[Available_nights]], Reference_Nights[[#All],[Month]], Table2[[#This Row],[Month]], Reference_Nights[[#All],[Apt]], Table2[[#This Row],[Apt]])</f>
        <v>28</v>
      </c>
      <c r="M97" s="18">
        <f>IF(Table2[[#This Row],[Available _Nights]]=0, 0, Table2[[#This Row],[Booked_Nights]]/Table2[[#This Row],[Available _Nights]])</f>
        <v>0</v>
      </c>
      <c r="N97" s="29">
        <f>IF(Table2[[#This Row],[Booked_Nights]]=0, 0, Table2[[#This Row],[Income]]/Table2[[#This Row],[Booked_Nights]])</f>
        <v>0</v>
      </c>
      <c r="O97" s="29">
        <f>IF(L97=0,0, Table2[[#This Row],[Income]]/Table2[[#This Row],[Available _Nights]])</f>
        <v>0</v>
      </c>
      <c r="P97" s="30">
        <f>IF(Table2[[#This Row],[Income]]=0,0,Table2[[#This Row],[Total_Exp]]/Table2[[#This Row],[Income]])</f>
        <v>0</v>
      </c>
    </row>
    <row r="98" spans="1:16" x14ac:dyDescent="0.2">
      <c r="A98" s="13" t="s">
        <v>1121</v>
      </c>
      <c r="B98" t="s">
        <v>297</v>
      </c>
      <c r="C98" s="5">
        <f>SUMIFS(Table1[FULL AMOUNT mxn pesos], Table1[Month], A98, Table1[APARTMENT], B98)</f>
        <v>12400</v>
      </c>
      <c r="D98">
        <f>SUMIFS(INCOME!C:C, INCOME!D:D, Table2[[#This Row],[Apt]], INCOME!J:J, Table2[[#This Row],[Month]])</f>
        <v>10</v>
      </c>
      <c r="E98" s="5">
        <f>SUMIFS(EXPENSES!$D:$D, EXPENSES!$C:$C, B98, EXPENSES!$F:$F, A98, EXPENSES!$E:$E, "Direct")</f>
        <v>38419</v>
      </c>
      <c r="F98" s="18">
        <f t="shared" ref="F98:F129" si="10">IF(C98=0,0,C98/SUMIF(A:A,A98,C:C))</f>
        <v>0.42095829118092382</v>
      </c>
      <c r="G98" s="5">
        <f>SUMIFS(EXPENSES!D:D, EXPENSES!F:F, Data_Consolidado!A98, EXPENSES!E:E, "Shared")</f>
        <v>10500</v>
      </c>
      <c r="H98" s="5">
        <f>G98*F98</f>
        <v>4420.0620573997003</v>
      </c>
      <c r="I98" s="5">
        <f>E98+H98</f>
        <v>42839.0620573997</v>
      </c>
      <c r="J98" s="5">
        <f>C98-I98</f>
        <v>-30439.0620573997</v>
      </c>
      <c r="K98" s="18">
        <f>IF(C98=0, "-", (J98/C98))</f>
        <v>-2.454763069145137</v>
      </c>
      <c r="L98">
        <f>SUMIFS(Reference_Nights[[#All],[Available_nights]], Reference_Nights[[#All],[Month]], Table2[[#This Row],[Month]], Reference_Nights[[#All],[Apt]], Table2[[#This Row],[Apt]])</f>
        <v>28</v>
      </c>
      <c r="M98" s="18">
        <f>IF(Table2[[#This Row],[Available _Nights]]=0, 0, Table2[[#This Row],[Booked_Nights]]/Table2[[#This Row],[Available _Nights]])</f>
        <v>0.35714285714285715</v>
      </c>
      <c r="N98" s="29">
        <f>IF(Table2[[#This Row],[Booked_Nights]]=0, 0, Table2[[#This Row],[Income]]/Table2[[#This Row],[Booked_Nights]])</f>
        <v>1240</v>
      </c>
      <c r="O98" s="29">
        <f>IF(L98=0,0, Table2[[#This Row],[Income]]/Table2[[#This Row],[Available _Nights]])</f>
        <v>442.85714285714283</v>
      </c>
      <c r="P98" s="30">
        <f>IF(Table2[[#This Row],[Income]]=0,0,Table2[[#This Row],[Total_Exp]]/Table2[[#This Row],[Income]])</f>
        <v>3.454763069145137</v>
      </c>
    </row>
    <row r="99" spans="1:16" x14ac:dyDescent="0.2">
      <c r="A99" s="13" t="s">
        <v>1122</v>
      </c>
      <c r="B99" t="s">
        <v>295</v>
      </c>
      <c r="C99" s="5">
        <f>SUMIFS(Table1[FULL AMOUNT mxn pesos], Table1[Month], A99, Table1[APARTMENT], B99)</f>
        <v>21620</v>
      </c>
      <c r="D99">
        <f>SUMIFS(INCOME!C:C, INCOME!D:D, Table2[[#This Row],[Apt]], INCOME!J:J, Table2[[#This Row],[Month]])</f>
        <v>6</v>
      </c>
      <c r="E99" s="5">
        <f>SUMIFS(EXPENSES!$D:$D, EXPENSES!$C:$C, B99, EXPENSES!$F:$F, A99, EXPENSES!$E:$E, "Direct")</f>
        <v>36981</v>
      </c>
      <c r="F99" s="18">
        <f t="shared" si="10"/>
        <v>0.70539716927574436</v>
      </c>
      <c r="G99" s="5">
        <f>SUMIFS(EXPENSES!D:D, EXPENSES!F:F, Data_Consolidado!A99, EXPENSES!E:E, "Shared")</f>
        <v>22400</v>
      </c>
      <c r="H99" s="5">
        <f t="shared" si="4"/>
        <v>15800.896591776675</v>
      </c>
      <c r="I99" s="5">
        <f t="shared" si="5"/>
        <v>52781.896591776676</v>
      </c>
      <c r="J99" s="5">
        <f t="shared" si="6"/>
        <v>-31161.896591776676</v>
      </c>
      <c r="K99" s="18">
        <f t="shared" si="7"/>
        <v>-1.4413458183060441</v>
      </c>
      <c r="L99">
        <f>SUMIFS(Reference_Nights[[#All],[Available_nights]], Reference_Nights[[#All],[Month]], Table2[[#This Row],[Month]], Reference_Nights[[#All],[Apt]], Table2[[#This Row],[Apt]])</f>
        <v>27</v>
      </c>
      <c r="M99" s="18">
        <f>IF(Table2[[#This Row],[Available _Nights]]=0, 0, Table2[[#This Row],[Booked_Nights]]/Table2[[#This Row],[Available _Nights]])</f>
        <v>0.22222222222222221</v>
      </c>
      <c r="N99" s="29">
        <f>IF(Table2[[#This Row],[Booked_Nights]]=0, 0, Table2[[#This Row],[Income]]/Table2[[#This Row],[Booked_Nights]])</f>
        <v>3603.3333333333335</v>
      </c>
      <c r="O99" s="29">
        <f>IF(L99=0,0, Table2[[#This Row],[Income]]/Table2[[#This Row],[Available _Nights]])</f>
        <v>800.74074074074076</v>
      </c>
      <c r="P99" s="30">
        <f>IF(Table2[[#This Row],[Income]]=0,0,Table2[[#This Row],[Total_Exp]]/Table2[[#This Row],[Income]])</f>
        <v>2.4413458183060444</v>
      </c>
    </row>
    <row r="100" spans="1:16" x14ac:dyDescent="0.2">
      <c r="A100" s="13" t="s">
        <v>1122</v>
      </c>
      <c r="B100" t="s">
        <v>296</v>
      </c>
      <c r="C100" s="5">
        <f>SUMIFS(Table1[FULL AMOUNT mxn pesos], Table1[Month], A100, Table1[APARTMENT], B100)</f>
        <v>9029.4000000000015</v>
      </c>
      <c r="D100">
        <f>SUMIFS(INCOME!C:C, INCOME!D:D, Table2[[#This Row],[Apt]], INCOME!J:J, Table2[[#This Row],[Month]])</f>
        <v>3</v>
      </c>
      <c r="E100" s="5">
        <f>SUMIFS(EXPENSES!$D:$D, EXPENSES!$C:$C, B100, EXPENSES!$F:$F, A100, EXPENSES!$E:$E, "Direct")</f>
        <v>33889.410000000003</v>
      </c>
      <c r="F100" s="18">
        <f t="shared" si="10"/>
        <v>0.29460283072425564</v>
      </c>
      <c r="G100" s="5">
        <f>SUMIFS(EXPENSES!D:D, EXPENSES!F:F, Data_Consolidado!A100, EXPENSES!E:E, "Shared")</f>
        <v>22400</v>
      </c>
      <c r="H100" s="5">
        <f t="shared" ref="H100:H123" si="11">G100*F100</f>
        <v>6599.1034082233264</v>
      </c>
      <c r="I100" s="5">
        <f t="shared" ref="I100:I143" si="12">E100+H100</f>
        <v>40488.513408223327</v>
      </c>
      <c r="J100" s="5">
        <f t="shared" ref="J100:J105" si="13">C100-I100</f>
        <v>-31459.113408223326</v>
      </c>
      <c r="K100" s="18">
        <f t="shared" ref="K100:K143" si="14">IF(C100=0, "-", (J100/C100))</f>
        <v>-3.4840757313025583</v>
      </c>
      <c r="L100">
        <f>SUMIFS(Reference_Nights[[#All],[Available_nights]], Reference_Nights[[#All],[Month]], Table2[[#This Row],[Month]], Reference_Nights[[#All],[Apt]], Table2[[#This Row],[Apt]])</f>
        <v>27</v>
      </c>
      <c r="M100" s="18">
        <f>IF(Table2[[#This Row],[Available _Nights]]=0, 0, Table2[[#This Row],[Booked_Nights]]/Table2[[#This Row],[Available _Nights]])</f>
        <v>0.1111111111111111</v>
      </c>
      <c r="N100" s="29">
        <f>IF(Table2[[#This Row],[Booked_Nights]]=0, 0, Table2[[#This Row],[Income]]/Table2[[#This Row],[Booked_Nights]])</f>
        <v>3009.8000000000006</v>
      </c>
      <c r="O100" s="29">
        <f>IF(L100=0,0, Table2[[#This Row],[Income]]/Table2[[#This Row],[Available _Nights]])</f>
        <v>334.42222222222227</v>
      </c>
      <c r="P100" s="30">
        <f>IF(Table2[[#This Row],[Income]]=0,0,Table2[[#This Row],[Total_Exp]]/Table2[[#This Row],[Income]])</f>
        <v>4.4840757313025588</v>
      </c>
    </row>
    <row r="101" spans="1:16" x14ac:dyDescent="0.2">
      <c r="A101" s="13" t="s">
        <v>1122</v>
      </c>
      <c r="B101" t="s">
        <v>297</v>
      </c>
      <c r="C101" s="5">
        <f>SUMIFS(Table1[FULL AMOUNT mxn pesos], Table1[Month], A101, Table1[APARTMENT], B101)</f>
        <v>0</v>
      </c>
      <c r="D101">
        <f>SUMIFS(INCOME!C:C, INCOME!D:D, Table2[[#This Row],[Apt]], INCOME!J:J, Table2[[#This Row],[Month]])</f>
        <v>0</v>
      </c>
      <c r="E101" s="5">
        <f>SUMIFS(EXPENSES!$D:$D, EXPENSES!$C:$C, B101, EXPENSES!$F:$F, A101, EXPENSES!$E:$E, "Direct")</f>
        <v>26391</v>
      </c>
      <c r="F101" s="18">
        <f t="shared" si="10"/>
        <v>0</v>
      </c>
      <c r="G101" s="5">
        <f>SUMIFS(EXPENSES!D:D, EXPENSES!F:F, Data_Consolidado!A101, EXPENSES!E:E, "Shared")</f>
        <v>22400</v>
      </c>
      <c r="H101" s="5">
        <f>G101*F101</f>
        <v>0</v>
      </c>
      <c r="I101" s="5">
        <f>E101+H101</f>
        <v>26391</v>
      </c>
      <c r="J101" s="5">
        <f>C101-I101</f>
        <v>-26391</v>
      </c>
      <c r="K101" s="18" t="str">
        <f>IF(C101=0, "-", (J101/C101))</f>
        <v>-</v>
      </c>
      <c r="L101">
        <f>SUMIFS(Reference_Nights[[#All],[Available_nights]], Reference_Nights[[#All],[Month]], Table2[[#This Row],[Month]], Reference_Nights[[#All],[Apt]], Table2[[#This Row],[Apt]])</f>
        <v>27</v>
      </c>
      <c r="M101" s="18">
        <f>IF(Table2[[#This Row],[Available _Nights]]=0, 0, Table2[[#This Row],[Booked_Nights]]/Table2[[#This Row],[Available _Nights]])</f>
        <v>0</v>
      </c>
      <c r="N101" s="29">
        <f>IF(Table2[[#This Row],[Booked_Nights]]=0, 0, Table2[[#This Row],[Income]]/Table2[[#This Row],[Booked_Nights]])</f>
        <v>0</v>
      </c>
      <c r="O101" s="29">
        <f>IF(L101=0,0, Table2[[#This Row],[Income]]/Table2[[#This Row],[Available _Nights]])</f>
        <v>0</v>
      </c>
      <c r="P101" s="30">
        <f>IF(Table2[[#This Row],[Income]]=0,0,Table2[[#This Row],[Total_Exp]]/Table2[[#This Row],[Income]])</f>
        <v>0</v>
      </c>
    </row>
    <row r="102" spans="1:16" x14ac:dyDescent="0.2">
      <c r="A102" s="13" t="s">
        <v>1123</v>
      </c>
      <c r="B102" t="s">
        <v>295</v>
      </c>
      <c r="C102" s="5">
        <f>SUMIFS(Table1[FULL AMOUNT mxn pesos], Table1[Month], A102, Table1[APARTMENT], B102)</f>
        <v>74203.600000000006</v>
      </c>
      <c r="D102">
        <f>SUMIFS(INCOME!C:C, INCOME!D:D, Table2[[#This Row],[Apt]], INCOME!J:J, Table2[[#This Row],[Month]])</f>
        <v>18</v>
      </c>
      <c r="E102" s="5">
        <f>SUMIFS(EXPENSES!$D:$D, EXPENSES!$C:$C, B102, EXPENSES!$F:$F, A102, EXPENSES!$E:$E, "Direct")</f>
        <v>28997</v>
      </c>
      <c r="F102" s="18">
        <f t="shared" si="10"/>
        <v>0.47593196683774586</v>
      </c>
      <c r="G102" s="5">
        <f>SUMIFS(EXPENSES!D:D, EXPENSES!F:F, Data_Consolidado!A102, EXPENSES!E:E, "Shared")</f>
        <v>9167.869999999999</v>
      </c>
      <c r="H102" s="5">
        <f t="shared" si="11"/>
        <v>4363.2824008127645</v>
      </c>
      <c r="I102" s="5">
        <f t="shared" si="12"/>
        <v>33360.282400812765</v>
      </c>
      <c r="J102" s="5">
        <f t="shared" si="13"/>
        <v>40843.317599187241</v>
      </c>
      <c r="K102" s="18">
        <f t="shared" si="14"/>
        <v>0.55042231912181128</v>
      </c>
      <c r="L102">
        <f>SUMIFS(Reference_Nights[[#All],[Available_nights]], Reference_Nights[[#All],[Month]], Table2[[#This Row],[Month]], Reference_Nights[[#All],[Apt]], Table2[[#This Row],[Apt]])</f>
        <v>28</v>
      </c>
      <c r="M102" s="18">
        <f>IF(Table2[[#This Row],[Available _Nights]]=0, 0, Table2[[#This Row],[Booked_Nights]]/Table2[[#This Row],[Available _Nights]])</f>
        <v>0.6428571428571429</v>
      </c>
      <c r="N102" s="29">
        <f>IF(Table2[[#This Row],[Booked_Nights]]=0, 0, Table2[[#This Row],[Income]]/Table2[[#This Row],[Booked_Nights]])</f>
        <v>4122.4222222222224</v>
      </c>
      <c r="O102" s="29">
        <f>IF(L102=0,0, Table2[[#This Row],[Income]]/Table2[[#This Row],[Available _Nights]])</f>
        <v>2650.1285714285718</v>
      </c>
      <c r="P102" s="30">
        <f>IF(Table2[[#This Row],[Income]]=0,0,Table2[[#This Row],[Total_Exp]]/Table2[[#This Row],[Income]])</f>
        <v>0.44957768087818867</v>
      </c>
    </row>
    <row r="103" spans="1:16" x14ac:dyDescent="0.2">
      <c r="A103" s="13" t="s">
        <v>1123</v>
      </c>
      <c r="B103" t="s">
        <v>296</v>
      </c>
      <c r="C103" s="5">
        <f>SUMIFS(Table1[FULL AMOUNT mxn pesos], Table1[Month], A103, Table1[APARTMENT], B103)</f>
        <v>81708.600000000006</v>
      </c>
      <c r="D103">
        <f>SUMIFS(INCOME!C:C, INCOME!D:D, Table2[[#This Row],[Apt]], INCOME!J:J, Table2[[#This Row],[Month]])</f>
        <v>24</v>
      </c>
      <c r="E103" s="5">
        <f>SUMIFS(EXPENSES!$D:$D, EXPENSES!$C:$C, B103, EXPENSES!$F:$F, A103, EXPENSES!$E:$E, "Direct")</f>
        <v>26052.94</v>
      </c>
      <c r="F103" s="18">
        <f t="shared" si="10"/>
        <v>0.52406803316225414</v>
      </c>
      <c r="G103" s="5">
        <f>SUMIFS(EXPENSES!D:D, EXPENSES!F:F, Data_Consolidado!A103, EXPENSES!E:E, "Shared")</f>
        <v>9167.869999999999</v>
      </c>
      <c r="H103" s="5">
        <f t="shared" si="11"/>
        <v>4804.5875991872344</v>
      </c>
      <c r="I103" s="5">
        <f t="shared" si="12"/>
        <v>30857.527599187233</v>
      </c>
      <c r="J103" s="5">
        <f t="shared" si="13"/>
        <v>50851.072400812773</v>
      </c>
      <c r="K103" s="18">
        <f t="shared" si="14"/>
        <v>0.62234663671648727</v>
      </c>
      <c r="L103">
        <f>SUMIFS(Reference_Nights[[#All],[Available_nights]], Reference_Nights[[#All],[Month]], Table2[[#This Row],[Month]], Reference_Nights[[#All],[Apt]], Table2[[#This Row],[Apt]])</f>
        <v>28</v>
      </c>
      <c r="M103" s="18">
        <f>IF(Table2[[#This Row],[Available _Nights]]=0, 0, Table2[[#This Row],[Booked_Nights]]/Table2[[#This Row],[Available _Nights]])</f>
        <v>0.8571428571428571</v>
      </c>
      <c r="N103" s="29">
        <f>IF(Table2[[#This Row],[Booked_Nights]]=0, 0, Table2[[#This Row],[Income]]/Table2[[#This Row],[Booked_Nights]])</f>
        <v>3404.5250000000001</v>
      </c>
      <c r="O103" s="29">
        <f>IF(L103=0,0, Table2[[#This Row],[Income]]/Table2[[#This Row],[Available _Nights]])</f>
        <v>2918.1642857142861</v>
      </c>
      <c r="P103" s="30">
        <f>IF(Table2[[#This Row],[Income]]=0,0,Table2[[#This Row],[Total_Exp]]/Table2[[#This Row],[Income]])</f>
        <v>0.37765336328351279</v>
      </c>
    </row>
    <row r="104" spans="1:16" x14ac:dyDescent="0.2">
      <c r="A104" s="13" t="s">
        <v>1123</v>
      </c>
      <c r="B104" t="s">
        <v>297</v>
      </c>
      <c r="C104" s="5">
        <f>SUMIFS(Table1[FULL AMOUNT mxn pesos], Table1[Month], A104, Table1[APARTMENT], B104)</f>
        <v>0</v>
      </c>
      <c r="D104">
        <f>SUMIFS(INCOME!C:C, INCOME!D:D, Table2[[#This Row],[Apt]], INCOME!J:J, Table2[[#This Row],[Month]])</f>
        <v>0</v>
      </c>
      <c r="E104" s="5">
        <f>SUMIFS(EXPENSES!$D:$D, EXPENSES!$C:$C, B104, EXPENSES!$F:$F, A104, EXPENSES!$E:$E, "Direct")</f>
        <v>23787</v>
      </c>
      <c r="F104" s="18">
        <f t="shared" si="10"/>
        <v>0</v>
      </c>
      <c r="G104" s="5">
        <f>SUMIFS(EXPENSES!D:D, EXPENSES!F:F, Data_Consolidado!A104, EXPENSES!E:E, "Shared")</f>
        <v>9167.869999999999</v>
      </c>
      <c r="H104" s="5">
        <f>G104*F104</f>
        <v>0</v>
      </c>
      <c r="I104" s="5">
        <f>E104+H104</f>
        <v>23787</v>
      </c>
      <c r="J104" s="5">
        <f>C104-I104</f>
        <v>-23787</v>
      </c>
      <c r="K104" s="18" t="str">
        <f>IF(C104=0, "-", (J104/C104))</f>
        <v>-</v>
      </c>
      <c r="L104">
        <f>SUMIFS(Reference_Nights[[#All],[Available_nights]], Reference_Nights[[#All],[Month]], Table2[[#This Row],[Month]], Reference_Nights[[#All],[Apt]], Table2[[#This Row],[Apt]])</f>
        <v>28</v>
      </c>
      <c r="M104" s="18">
        <f>IF(Table2[[#This Row],[Available _Nights]]=0, 0, Table2[[#This Row],[Booked_Nights]]/Table2[[#This Row],[Available _Nights]])</f>
        <v>0</v>
      </c>
      <c r="N104" s="29">
        <f>IF(Table2[[#This Row],[Booked_Nights]]=0, 0, Table2[[#This Row],[Income]]/Table2[[#This Row],[Booked_Nights]])</f>
        <v>0</v>
      </c>
      <c r="O104" s="29">
        <f>IF(L104=0,0, Table2[[#This Row],[Income]]/Table2[[#This Row],[Available _Nights]])</f>
        <v>0</v>
      </c>
      <c r="P104" s="30">
        <f>IF(Table2[[#This Row],[Income]]=0,0,Table2[[#This Row],[Total_Exp]]/Table2[[#This Row],[Income]])</f>
        <v>0</v>
      </c>
    </row>
    <row r="105" spans="1:16" x14ac:dyDescent="0.2">
      <c r="A105" s="13" t="s">
        <v>1124</v>
      </c>
      <c r="B105" t="s">
        <v>295</v>
      </c>
      <c r="C105" s="5">
        <f>SUMIFS(Table1[FULL AMOUNT mxn pesos], Table1[Month], A105, Table1[APARTMENT], B105)</f>
        <v>73350.799999999988</v>
      </c>
      <c r="D105">
        <f>SUMIFS(INCOME!C:C, INCOME!D:D, Table2[[#This Row],[Apt]], INCOME!J:J, Table2[[#This Row],[Month]])</f>
        <v>22</v>
      </c>
      <c r="E105" s="5">
        <f>SUMIFS(EXPENSES!$D:$D, EXPENSES!$C:$C, B105, EXPENSES!$F:$F, A105, EXPENSES!$E:$E, "Direct")</f>
        <v>44300</v>
      </c>
      <c r="F105" s="18">
        <f t="shared" si="10"/>
        <v>0.3781296524647495</v>
      </c>
      <c r="G105" s="5">
        <f>SUMIFS(EXPENSES!D:D, EXPENSES!F:F, Data_Consolidado!A105, EXPENSES!E:E, "Shared")</f>
        <v>7310</v>
      </c>
      <c r="H105" s="5">
        <f t="shared" si="11"/>
        <v>2764.1277595173187</v>
      </c>
      <c r="I105" s="5">
        <f t="shared" si="12"/>
        <v>47064.127759517316</v>
      </c>
      <c r="J105" s="5">
        <f t="shared" si="13"/>
        <v>26286.672240482672</v>
      </c>
      <c r="K105" s="18">
        <f t="shared" si="14"/>
        <v>0.35836926441814781</v>
      </c>
      <c r="L105">
        <f>SUMIFS(Reference_Nights[[#All],[Available_nights]], Reference_Nights[[#All],[Month]], Table2[[#This Row],[Month]], Reference_Nights[[#All],[Apt]], Table2[[#This Row],[Apt]])</f>
        <v>28</v>
      </c>
      <c r="M105" s="18">
        <f>IF(Table2[[#This Row],[Available _Nights]]=0, 0, Table2[[#This Row],[Booked_Nights]]/Table2[[#This Row],[Available _Nights]])</f>
        <v>0.7857142857142857</v>
      </c>
      <c r="N105" s="29">
        <f>IF(Table2[[#This Row],[Booked_Nights]]=0, 0, Table2[[#This Row],[Income]]/Table2[[#This Row],[Booked_Nights]])</f>
        <v>3334.1272727272722</v>
      </c>
      <c r="O105" s="29">
        <f>IF(L105=0,0, Table2[[#This Row],[Income]]/Table2[[#This Row],[Available _Nights]])</f>
        <v>2619.6714285714284</v>
      </c>
      <c r="P105" s="30">
        <f>IF(Table2[[#This Row],[Income]]=0,0,Table2[[#This Row],[Total_Exp]]/Table2[[#This Row],[Income]])</f>
        <v>0.64163073558185224</v>
      </c>
    </row>
    <row r="106" spans="1:16" x14ac:dyDescent="0.2">
      <c r="A106" s="13" t="s">
        <v>1124</v>
      </c>
      <c r="B106" t="s">
        <v>296</v>
      </c>
      <c r="C106" s="5">
        <f>SUMIFS(Table1[FULL AMOUNT mxn pesos], Table1[Month], A106, Table1[APARTMENT], B106)</f>
        <v>13812</v>
      </c>
      <c r="D106">
        <f>SUMIFS(INCOME!C:C, INCOME!D:D, Table2[[#This Row],[Apt]], INCOME!J:J, Table2[[#This Row],[Month]])</f>
        <v>5</v>
      </c>
      <c r="E106" s="5">
        <f>SUMIFS(EXPENSES!$D:$D, EXPENSES!$C:$C, B106, EXPENSES!$F:$F, A106, EXPENSES!$E:$E, "Direct")</f>
        <v>13150</v>
      </c>
      <c r="F106" s="18">
        <f t="shared" si="10"/>
        <v>7.1202042238709337E-2</v>
      </c>
      <c r="G106" s="5">
        <f>SUMIFS(EXPENSES!D:D, EXPENSES!F:F, Data_Consolidado!A106, EXPENSES!E:E, "Shared")</f>
        <v>7310</v>
      </c>
      <c r="H106" s="5">
        <f t="shared" si="11"/>
        <v>520.48692876496523</v>
      </c>
      <c r="I106" s="5">
        <f t="shared" si="12"/>
        <v>13670.486928764965</v>
      </c>
      <c r="J106" s="5">
        <f>C106-I106</f>
        <v>141.51307123503466</v>
      </c>
      <c r="K106" s="18">
        <f t="shared" si="14"/>
        <v>1.0245661108820928E-2</v>
      </c>
      <c r="L106">
        <f>SUMIFS(Reference_Nights[[#All],[Available_nights]], Reference_Nights[[#All],[Month]], Table2[[#This Row],[Month]], Reference_Nights[[#All],[Apt]], Table2[[#This Row],[Apt]])</f>
        <v>28</v>
      </c>
      <c r="M106" s="18">
        <f>IF(Table2[[#This Row],[Available _Nights]]=0, 0, Table2[[#This Row],[Booked_Nights]]/Table2[[#This Row],[Available _Nights]])</f>
        <v>0.17857142857142858</v>
      </c>
      <c r="N106" s="29">
        <f>IF(Table2[[#This Row],[Booked_Nights]]=0, 0, Table2[[#This Row],[Income]]/Table2[[#This Row],[Booked_Nights]])</f>
        <v>2762.4</v>
      </c>
      <c r="O106" s="29">
        <f>IF(L106=0,0, Table2[[#This Row],[Income]]/Table2[[#This Row],[Available _Nights]])</f>
        <v>493.28571428571428</v>
      </c>
      <c r="P106" s="30">
        <f>IF(Table2[[#This Row],[Income]]=0,0,Table2[[#This Row],[Total_Exp]]/Table2[[#This Row],[Income]])</f>
        <v>0.98975433889117903</v>
      </c>
    </row>
    <row r="107" spans="1:16" x14ac:dyDescent="0.2">
      <c r="A107" s="13" t="s">
        <v>1124</v>
      </c>
      <c r="B107" t="s">
        <v>297</v>
      </c>
      <c r="C107" s="5">
        <f>SUMIFS(Table1[FULL AMOUNT mxn pesos], Table1[Month], A107, Table1[APARTMENT], B107)</f>
        <v>106820.4</v>
      </c>
      <c r="D107">
        <f>SUMIFS(INCOME!C:C, INCOME!D:D, Table2[[#This Row],[Apt]], INCOME!J:J, Table2[[#This Row],[Month]])</f>
        <v>32</v>
      </c>
      <c r="E107" s="5">
        <f>SUMIFS(EXPENSES!$D:$D, EXPENSES!$C:$C, B107, EXPENSES!$F:$F, A107, EXPENSES!$E:$E, "Direct")</f>
        <v>25040</v>
      </c>
      <c r="F107" s="18">
        <f t="shared" si="10"/>
        <v>0.55066830529654121</v>
      </c>
      <c r="G107" s="5">
        <f>SUMIFS(EXPENSES!D:D, EXPENSES!F:F, Data_Consolidado!A107, EXPENSES!E:E, "Shared")</f>
        <v>7310</v>
      </c>
      <c r="H107" s="5">
        <f>G107*F107</f>
        <v>4025.3853117177164</v>
      </c>
      <c r="I107" s="5">
        <f>E107+H107</f>
        <v>29065.385311717717</v>
      </c>
      <c r="J107" s="5">
        <f>C107-I107</f>
        <v>77755.014688282274</v>
      </c>
      <c r="K107" s="18">
        <f>IF(C107=0, "-", (J107/C107))</f>
        <v>0.72790417081645709</v>
      </c>
      <c r="L107">
        <f>SUMIFS(Reference_Nights[[#All],[Available_nights]], Reference_Nights[[#All],[Month]], Table2[[#This Row],[Month]], Reference_Nights[[#All],[Apt]], Table2[[#This Row],[Apt]])</f>
        <v>28</v>
      </c>
      <c r="M107" s="18">
        <f>IF(Table2[[#This Row],[Available _Nights]]=0, 0, Table2[[#This Row],[Booked_Nights]]/Table2[[#This Row],[Available _Nights]])</f>
        <v>1.1428571428571428</v>
      </c>
      <c r="N107" s="29">
        <f>IF(Table2[[#This Row],[Booked_Nights]]=0, 0, Table2[[#This Row],[Income]]/Table2[[#This Row],[Booked_Nights]])</f>
        <v>3338.1374999999998</v>
      </c>
      <c r="O107" s="29">
        <f>IF(L107=0,0, Table2[[#This Row],[Income]]/Table2[[#This Row],[Available _Nights]])</f>
        <v>3815.0142857142855</v>
      </c>
      <c r="P107" s="30">
        <f>IF(Table2[[#This Row],[Income]]=0,0,Table2[[#This Row],[Total_Exp]]/Table2[[#This Row],[Income]])</f>
        <v>0.2720958291835428</v>
      </c>
    </row>
    <row r="108" spans="1:16" x14ac:dyDescent="0.2">
      <c r="A108" s="13" t="s">
        <v>1125</v>
      </c>
      <c r="B108" t="s">
        <v>295</v>
      </c>
      <c r="C108" s="5">
        <f>SUMIFS(Table1[FULL AMOUNT mxn pesos], Table1[Month], A108, Table1[APARTMENT], B108)</f>
        <v>11211</v>
      </c>
      <c r="D108">
        <f>SUMIFS(INCOME!C:C, INCOME!D:D, Table2[[#This Row],[Apt]], INCOME!J:J, Table2[[#This Row],[Month]])</f>
        <v>5</v>
      </c>
      <c r="E108" s="5">
        <f>SUMIFS(EXPENSES!$D:$D, EXPENSES!$C:$C, B108, EXPENSES!$F:$F, A108, EXPENSES!$E:$E, "Direct")</f>
        <v>22127</v>
      </c>
      <c r="F108" s="18">
        <f t="shared" si="10"/>
        <v>0.17506574139427972</v>
      </c>
      <c r="G108" s="5">
        <f>SUMIFS(EXPENSES!D:D, EXPENSES!F:F, Data_Consolidado!A108, EXPENSES!E:E, "Shared")</f>
        <v>5840</v>
      </c>
      <c r="H108" s="5">
        <f t="shared" si="11"/>
        <v>1022.3839297425935</v>
      </c>
      <c r="I108" s="5">
        <f t="shared" si="12"/>
        <v>23149.383929742595</v>
      </c>
      <c r="J108" s="5">
        <f t="shared" ref="J108:J143" si="15">C108-I108</f>
        <v>-11938.383929742595</v>
      </c>
      <c r="K108" s="18">
        <f t="shared" si="14"/>
        <v>-1.0648812710500932</v>
      </c>
      <c r="L108">
        <f>SUMIFS(Reference_Nights[[#All],[Available_nights]], Reference_Nights[[#All],[Month]], Table2[[#This Row],[Month]], Reference_Nights[[#All],[Apt]], Table2[[#This Row],[Apt]])</f>
        <v>25</v>
      </c>
      <c r="M108" s="18">
        <f>IF(Table2[[#This Row],[Available _Nights]]=0, 0, Table2[[#This Row],[Booked_Nights]]/Table2[[#This Row],[Available _Nights]])</f>
        <v>0.2</v>
      </c>
      <c r="N108" s="29">
        <f>IF(Table2[[#This Row],[Booked_Nights]]=0, 0, Table2[[#This Row],[Income]]/Table2[[#This Row],[Booked_Nights]])</f>
        <v>2242.1999999999998</v>
      </c>
      <c r="O108" s="29">
        <f>IF(L108=0,0, Table2[[#This Row],[Income]]/Table2[[#This Row],[Available _Nights]])</f>
        <v>448.44</v>
      </c>
      <c r="P108" s="30">
        <f>IF(Table2[[#This Row],[Income]]=0,0,Table2[[#This Row],[Total_Exp]]/Table2[[#This Row],[Income]])</f>
        <v>2.0648812710500932</v>
      </c>
    </row>
    <row r="109" spans="1:16" x14ac:dyDescent="0.2">
      <c r="A109" s="13" t="s">
        <v>1125</v>
      </c>
      <c r="B109" t="s">
        <v>296</v>
      </c>
      <c r="C109" s="5">
        <f>SUMIFS(Table1[FULL AMOUNT mxn pesos], Table1[Month], A109, Table1[APARTMENT], B109)</f>
        <v>28981.8</v>
      </c>
      <c r="D109">
        <f>SUMIFS(INCOME!C:C, INCOME!D:D, Table2[[#This Row],[Apt]], INCOME!J:J, Table2[[#This Row],[Month]])</f>
        <v>24</v>
      </c>
      <c r="E109" s="5">
        <f>SUMIFS(EXPENSES!$D:$D, EXPENSES!$C:$C, B109, EXPENSES!$F:$F, A109, EXPENSES!$E:$E, "Direct")</f>
        <v>13500</v>
      </c>
      <c r="F109" s="18">
        <f t="shared" si="10"/>
        <v>0.45256625670687145</v>
      </c>
      <c r="G109" s="5">
        <f>SUMIFS(EXPENSES!D:D, EXPENSES!F:F, Data_Consolidado!A109, EXPENSES!E:E, "Shared")</f>
        <v>5840</v>
      </c>
      <c r="H109" s="5">
        <f t="shared" si="11"/>
        <v>2642.9869391681291</v>
      </c>
      <c r="I109" s="5">
        <f t="shared" si="12"/>
        <v>16142.98693916813</v>
      </c>
      <c r="J109" s="5">
        <f t="shared" si="15"/>
        <v>12838.81306083187</v>
      </c>
      <c r="K109" s="18">
        <f t="shared" si="14"/>
        <v>0.44299570974997654</v>
      </c>
      <c r="L109">
        <f>SUMIFS(Reference_Nights[[#All],[Available_nights]], Reference_Nights[[#All],[Month]], Table2[[#This Row],[Month]], Reference_Nights[[#All],[Apt]], Table2[[#This Row],[Apt]])</f>
        <v>25</v>
      </c>
      <c r="M109" s="18">
        <f>IF(Table2[[#This Row],[Available _Nights]]=0, 0, Table2[[#This Row],[Booked_Nights]]/Table2[[#This Row],[Available _Nights]])</f>
        <v>0.96</v>
      </c>
      <c r="N109" s="29">
        <f>IF(Table2[[#This Row],[Booked_Nights]]=0, 0, Table2[[#This Row],[Income]]/Table2[[#This Row],[Booked_Nights]])</f>
        <v>1207.575</v>
      </c>
      <c r="O109" s="29">
        <f>IF(L109=0,0, Table2[[#This Row],[Income]]/Table2[[#This Row],[Available _Nights]])</f>
        <v>1159.2719999999999</v>
      </c>
      <c r="P109" s="30">
        <f>IF(Table2[[#This Row],[Income]]=0,0,Table2[[#This Row],[Total_Exp]]/Table2[[#This Row],[Income]])</f>
        <v>0.55700429025002351</v>
      </c>
    </row>
    <row r="110" spans="1:16" x14ac:dyDescent="0.2">
      <c r="A110" s="13" t="s">
        <v>1125</v>
      </c>
      <c r="B110" t="s">
        <v>297</v>
      </c>
      <c r="C110" s="5">
        <f>SUMIFS(Table1[FULL AMOUNT mxn pesos], Table1[Month], A110, Table1[APARTMENT], B110)</f>
        <v>23846</v>
      </c>
      <c r="D110">
        <f>SUMIFS(INCOME!C:C, INCOME!D:D, Table2[[#This Row],[Apt]], INCOME!J:J, Table2[[#This Row],[Month]])</f>
        <v>10</v>
      </c>
      <c r="E110" s="5">
        <f>SUMIFS(EXPENSES!$D:$D, EXPENSES!$C:$C, B110, EXPENSES!$F:$F, A110, EXPENSES!$E:$E, "Direct")</f>
        <v>30167</v>
      </c>
      <c r="F110" s="18">
        <f t="shared" si="10"/>
        <v>0.37236800189884883</v>
      </c>
      <c r="G110" s="5">
        <f>SUMIFS(EXPENSES!D:D, EXPENSES!F:F, Data_Consolidado!A110, EXPENSES!E:E, "Shared")</f>
        <v>5840</v>
      </c>
      <c r="H110" s="5">
        <f>G110*F110</f>
        <v>2174.6291310892771</v>
      </c>
      <c r="I110" s="5">
        <f>E110+H110</f>
        <v>32341.629131089278</v>
      </c>
      <c r="J110" s="5">
        <f>C110-I110</f>
        <v>-8495.6291310892775</v>
      </c>
      <c r="K110" s="18">
        <f>IF(C110=0, "-", (J110/C110))</f>
        <v>-0.35627061692062728</v>
      </c>
      <c r="L110">
        <f>SUMIFS(Reference_Nights[[#All],[Available_nights]], Reference_Nights[[#All],[Month]], Table2[[#This Row],[Month]], Reference_Nights[[#All],[Apt]], Table2[[#This Row],[Apt]])</f>
        <v>25</v>
      </c>
      <c r="M110" s="18">
        <f>IF(Table2[[#This Row],[Available _Nights]]=0, 0, Table2[[#This Row],[Booked_Nights]]/Table2[[#This Row],[Available _Nights]])</f>
        <v>0.4</v>
      </c>
      <c r="N110" s="29">
        <f>IF(Table2[[#This Row],[Booked_Nights]]=0, 0, Table2[[#This Row],[Income]]/Table2[[#This Row],[Booked_Nights]])</f>
        <v>2384.6</v>
      </c>
      <c r="O110" s="29">
        <f>IF(L110=0,0, Table2[[#This Row],[Income]]/Table2[[#This Row],[Available _Nights]])</f>
        <v>953.84</v>
      </c>
      <c r="P110" s="30">
        <f>IF(Table2[[#This Row],[Income]]=0,0,Table2[[#This Row],[Total_Exp]]/Table2[[#This Row],[Income]])</f>
        <v>1.3562706169206273</v>
      </c>
    </row>
    <row r="111" spans="1:16" x14ac:dyDescent="0.2">
      <c r="A111" s="13" t="s">
        <v>1126</v>
      </c>
      <c r="B111" t="s">
        <v>295</v>
      </c>
      <c r="C111" s="5">
        <f>SUMIFS(Table1[FULL AMOUNT mxn pesos], Table1[Month], A111, Table1[APARTMENT], B111)</f>
        <v>34225.199999999997</v>
      </c>
      <c r="D111">
        <f>SUMIFS(INCOME!C:C, INCOME!D:D, Table2[[#This Row],[Apt]], INCOME!J:J, Table2[[#This Row],[Month]])</f>
        <v>18</v>
      </c>
      <c r="E111" s="5">
        <f>SUMIFS(EXPENSES!$D:$D, EXPENSES!$C:$C, B111, EXPENSES!$F:$F, A111, EXPENSES!$E:$E, "Direct")</f>
        <v>31432</v>
      </c>
      <c r="F111" s="18">
        <f t="shared" si="10"/>
        <v>0.71359587670136104</v>
      </c>
      <c r="G111" s="5">
        <f>SUMIFS(EXPENSES!D:D, EXPENSES!F:F, Data_Consolidado!A111, EXPENSES!E:E, "Shared")</f>
        <v>5950</v>
      </c>
      <c r="H111" s="5">
        <f t="shared" si="11"/>
        <v>4245.8954663730983</v>
      </c>
      <c r="I111" s="5">
        <f t="shared" si="12"/>
        <v>35677.895466373098</v>
      </c>
      <c r="J111" s="5">
        <f t="shared" si="15"/>
        <v>-1452.6954663731012</v>
      </c>
      <c r="K111" s="18">
        <f t="shared" si="14"/>
        <v>-4.2445200214260292E-2</v>
      </c>
      <c r="L111">
        <f>SUMIFS(Reference_Nights[[#All],[Available_nights]], Reference_Nights[[#All],[Month]], Table2[[#This Row],[Month]], Reference_Nights[[#All],[Apt]], Table2[[#This Row],[Apt]])</f>
        <v>28</v>
      </c>
      <c r="M111" s="18">
        <f>IF(Table2[[#This Row],[Available _Nights]]=0, 0, Table2[[#This Row],[Booked_Nights]]/Table2[[#This Row],[Available _Nights]])</f>
        <v>0.6428571428571429</v>
      </c>
      <c r="N111" s="29">
        <f>IF(Table2[[#This Row],[Booked_Nights]]=0, 0, Table2[[#This Row],[Income]]/Table2[[#This Row],[Booked_Nights]])</f>
        <v>1901.3999999999999</v>
      </c>
      <c r="O111" s="29">
        <f>IF(L111=0,0, Table2[[#This Row],[Income]]/Table2[[#This Row],[Available _Nights]])</f>
        <v>1222.3285714285714</v>
      </c>
      <c r="P111" s="30">
        <f>IF(Table2[[#This Row],[Income]]=0,0,Table2[[#This Row],[Total_Exp]]/Table2[[#This Row],[Income]])</f>
        <v>1.0424452002142603</v>
      </c>
    </row>
    <row r="112" spans="1:16" x14ac:dyDescent="0.2">
      <c r="A112" s="13" t="s">
        <v>1126</v>
      </c>
      <c r="B112" t="s">
        <v>296</v>
      </c>
      <c r="C112" s="5">
        <f>SUMIFS(Table1[FULL AMOUNT mxn pesos], Table1[Month], A112, Table1[APARTMENT], B112)</f>
        <v>13736.4</v>
      </c>
      <c r="D112">
        <f>SUMIFS(INCOME!C:C, INCOME!D:D, Table2[[#This Row],[Apt]], INCOME!J:J, Table2[[#This Row],[Month]])</f>
        <v>6</v>
      </c>
      <c r="E112" s="5">
        <f>SUMIFS(EXPENSES!$D:$D, EXPENSES!$C:$C, B112, EXPENSES!$F:$F, A112, EXPENSES!$E:$E, "Direct")</f>
        <v>13250</v>
      </c>
      <c r="F112" s="18">
        <f t="shared" si="10"/>
        <v>0.2864041232986389</v>
      </c>
      <c r="G112" s="5">
        <f>SUMIFS(EXPENSES!D:D, EXPENSES!F:F, Data_Consolidado!A112, EXPENSES!E:E, "Shared")</f>
        <v>5950</v>
      </c>
      <c r="H112" s="5">
        <f t="shared" si="11"/>
        <v>1704.1045336269015</v>
      </c>
      <c r="I112" s="5">
        <f t="shared" si="12"/>
        <v>14954.104533626902</v>
      </c>
      <c r="J112" s="5">
        <f t="shared" si="15"/>
        <v>-1217.704533626902</v>
      </c>
      <c r="K112" s="18">
        <f t="shared" si="14"/>
        <v>-8.8648010659772722E-2</v>
      </c>
      <c r="L112">
        <f>SUMIFS(Reference_Nights[[#All],[Available_nights]], Reference_Nights[[#All],[Month]], Table2[[#This Row],[Month]], Reference_Nights[[#All],[Apt]], Table2[[#This Row],[Apt]])</f>
        <v>28</v>
      </c>
      <c r="M112" s="18">
        <f>IF(Table2[[#This Row],[Available _Nights]]=0, 0, Table2[[#This Row],[Booked_Nights]]/Table2[[#This Row],[Available _Nights]])</f>
        <v>0.21428571428571427</v>
      </c>
      <c r="N112" s="29">
        <f>IF(Table2[[#This Row],[Booked_Nights]]=0, 0, Table2[[#This Row],[Income]]/Table2[[#This Row],[Booked_Nights]])</f>
        <v>2289.4</v>
      </c>
      <c r="O112" s="29">
        <f>IF(L112=0,0, Table2[[#This Row],[Income]]/Table2[[#This Row],[Available _Nights]])</f>
        <v>490.58571428571429</v>
      </c>
      <c r="P112" s="30">
        <f>IF(Table2[[#This Row],[Income]]=0,0,Table2[[#This Row],[Total_Exp]]/Table2[[#This Row],[Income]])</f>
        <v>1.0886480106597727</v>
      </c>
    </row>
    <row r="113" spans="1:16" x14ac:dyDescent="0.2">
      <c r="A113" s="13" t="s">
        <v>1126</v>
      </c>
      <c r="B113" t="s">
        <v>297</v>
      </c>
      <c r="C113" s="5">
        <f>SUMIFS(Table1[FULL AMOUNT mxn pesos], Table1[Month], A113, Table1[APARTMENT], B113)</f>
        <v>0</v>
      </c>
      <c r="D113">
        <f>SUMIFS(INCOME!C:C, INCOME!D:D, Table2[[#This Row],[Apt]], INCOME!J:J, Table2[[#This Row],[Month]])</f>
        <v>0</v>
      </c>
      <c r="E113" s="5">
        <f>SUMIFS(EXPENSES!$D:$D, EXPENSES!$C:$C, B113, EXPENSES!$F:$F, A113, EXPENSES!$E:$E, "Direct")</f>
        <v>32682</v>
      </c>
      <c r="F113" s="18">
        <f t="shared" si="10"/>
        <v>0</v>
      </c>
      <c r="G113" s="5">
        <f>SUMIFS(EXPENSES!D:D, EXPENSES!F:F, Data_Consolidado!A113, EXPENSES!E:E, "Shared")</f>
        <v>5950</v>
      </c>
      <c r="H113" s="5">
        <f>G113*F113</f>
        <v>0</v>
      </c>
      <c r="I113" s="5">
        <f>E113+H113</f>
        <v>32682</v>
      </c>
      <c r="J113" s="5">
        <f>C113-I113</f>
        <v>-32682</v>
      </c>
      <c r="K113" s="18" t="str">
        <f>IF(C113=0, "-", (J113/C113))</f>
        <v>-</v>
      </c>
      <c r="L113">
        <f>SUMIFS(Reference_Nights[[#All],[Available_nights]], Reference_Nights[[#All],[Month]], Table2[[#This Row],[Month]], Reference_Nights[[#All],[Apt]], Table2[[#This Row],[Apt]])</f>
        <v>28</v>
      </c>
      <c r="M113" s="18">
        <f>IF(Table2[[#This Row],[Available _Nights]]=0, 0, Table2[[#This Row],[Booked_Nights]]/Table2[[#This Row],[Available _Nights]])</f>
        <v>0</v>
      </c>
      <c r="N113" s="29">
        <f>IF(Table2[[#This Row],[Booked_Nights]]=0, 0, Table2[[#This Row],[Income]]/Table2[[#This Row],[Booked_Nights]])</f>
        <v>0</v>
      </c>
      <c r="O113" s="29">
        <f>IF(L113=0,0, Table2[[#This Row],[Income]]/Table2[[#This Row],[Available _Nights]])</f>
        <v>0</v>
      </c>
      <c r="P113" s="30">
        <f>IF(Table2[[#This Row],[Income]]=0,0,Table2[[#This Row],[Total_Exp]]/Table2[[#This Row],[Income]])</f>
        <v>0</v>
      </c>
    </row>
    <row r="114" spans="1:16" x14ac:dyDescent="0.2">
      <c r="A114" s="13" t="s">
        <v>1127</v>
      </c>
      <c r="B114" t="s">
        <v>295</v>
      </c>
      <c r="C114" s="5">
        <f>SUMIFS(Table1[FULL AMOUNT mxn pesos], Table1[Month], A114, Table1[APARTMENT], B114)</f>
        <v>27155.8</v>
      </c>
      <c r="D114">
        <f>SUMIFS(INCOME!C:C, INCOME!D:D, Table2[[#This Row],[Apt]], INCOME!J:J, Table2[[#This Row],[Month]])</f>
        <v>13</v>
      </c>
      <c r="E114" s="5">
        <f>SUMIFS(EXPENSES!$D:$D, EXPENSES!$C:$C, B114, EXPENSES!$F:$F, A114, EXPENSES!$E:$E, "Direct")</f>
        <v>30927</v>
      </c>
      <c r="F114" s="18">
        <f t="shared" si="10"/>
        <v>0.37746481222530182</v>
      </c>
      <c r="G114" s="5">
        <f>SUMIFS(EXPENSES!D:D, EXPENSES!F:F, Data_Consolidado!A114, EXPENSES!E:E, "Shared")</f>
        <v>2000</v>
      </c>
      <c r="H114" s="5">
        <f t="shared" si="11"/>
        <v>754.92962445060368</v>
      </c>
      <c r="I114" s="5">
        <f t="shared" si="12"/>
        <v>31681.929624450604</v>
      </c>
      <c r="J114" s="5">
        <f t="shared" si="15"/>
        <v>-4526.1296244506048</v>
      </c>
      <c r="K114" s="18">
        <f t="shared" si="14"/>
        <v>-0.16667266751303975</v>
      </c>
      <c r="L114">
        <f>SUMIFS(Reference_Nights[[#All],[Available_nights]], Reference_Nights[[#All],[Month]], Table2[[#This Row],[Month]], Reference_Nights[[#All],[Apt]], Table2[[#This Row],[Apt]])</f>
        <v>27</v>
      </c>
      <c r="M114" s="18">
        <f>IF(Table2[[#This Row],[Available _Nights]]=0, 0, Table2[[#This Row],[Booked_Nights]]/Table2[[#This Row],[Available _Nights]])</f>
        <v>0.48148148148148145</v>
      </c>
      <c r="N114" s="29">
        <f>IF(Table2[[#This Row],[Booked_Nights]]=0, 0, Table2[[#This Row],[Income]]/Table2[[#This Row],[Booked_Nights]])</f>
        <v>2088.9076923076923</v>
      </c>
      <c r="O114" s="29">
        <f>IF(L114=0,0, Table2[[#This Row],[Income]]/Table2[[#This Row],[Available _Nights]])</f>
        <v>1005.7703703703703</v>
      </c>
      <c r="P114" s="30">
        <f>IF(Table2[[#This Row],[Income]]=0,0,Table2[[#This Row],[Total_Exp]]/Table2[[#This Row],[Income]])</f>
        <v>1.1666726675130397</v>
      </c>
    </row>
    <row r="115" spans="1:16" x14ac:dyDescent="0.2">
      <c r="A115" s="13" t="s">
        <v>1127</v>
      </c>
      <c r="B115" t="s">
        <v>296</v>
      </c>
      <c r="C115" s="5">
        <f>SUMIFS(Table1[FULL AMOUNT mxn pesos], Table1[Month], A115, Table1[APARTMENT], B115)</f>
        <v>13580</v>
      </c>
      <c r="D115">
        <f>SUMIFS(INCOME!C:C, INCOME!D:D, Table2[[#This Row],[Apt]], INCOME!J:J, Table2[[#This Row],[Month]])</f>
        <v>5</v>
      </c>
      <c r="E115" s="5">
        <f>SUMIFS(EXPENSES!$D:$D, EXPENSES!$C:$C, B115, EXPENSES!$F:$F, A115, EXPENSES!$E:$E, "Direct")</f>
        <v>12970</v>
      </c>
      <c r="F115" s="18">
        <f t="shared" si="10"/>
        <v>0.18876159605018444</v>
      </c>
      <c r="G115" s="5">
        <f>SUMIFS(EXPENSES!D:D, EXPENSES!F:F, Data_Consolidado!A115, EXPENSES!E:E, "Shared")</f>
        <v>2000</v>
      </c>
      <c r="H115" s="5">
        <f t="shared" si="11"/>
        <v>377.52319210036887</v>
      </c>
      <c r="I115" s="5">
        <f t="shared" si="12"/>
        <v>13347.523192100369</v>
      </c>
      <c r="J115" s="5">
        <f t="shared" si="15"/>
        <v>232.47680789963124</v>
      </c>
      <c r="K115" s="18">
        <f t="shared" si="14"/>
        <v>1.7119058019118647E-2</v>
      </c>
      <c r="L115">
        <f>SUMIFS(Reference_Nights[[#All],[Available_nights]], Reference_Nights[[#All],[Month]], Table2[[#This Row],[Month]], Reference_Nights[[#All],[Apt]], Table2[[#This Row],[Apt]])</f>
        <v>27</v>
      </c>
      <c r="M115" s="18">
        <f>IF(Table2[[#This Row],[Available _Nights]]=0, 0, Table2[[#This Row],[Booked_Nights]]/Table2[[#This Row],[Available _Nights]])</f>
        <v>0.18518518518518517</v>
      </c>
      <c r="N115" s="29">
        <f>IF(Table2[[#This Row],[Booked_Nights]]=0, 0, Table2[[#This Row],[Income]]/Table2[[#This Row],[Booked_Nights]])</f>
        <v>2716</v>
      </c>
      <c r="O115" s="29">
        <f>IF(L115=0,0, Table2[[#This Row],[Income]]/Table2[[#This Row],[Available _Nights]])</f>
        <v>502.96296296296299</v>
      </c>
      <c r="P115" s="30">
        <f>IF(Table2[[#This Row],[Income]]=0,0,Table2[[#This Row],[Total_Exp]]/Table2[[#This Row],[Income]])</f>
        <v>0.98288094198088138</v>
      </c>
    </row>
    <row r="116" spans="1:16" x14ac:dyDescent="0.2">
      <c r="A116" s="13" t="s">
        <v>1127</v>
      </c>
      <c r="B116" t="s">
        <v>297</v>
      </c>
      <c r="C116" s="5">
        <f>SUMIFS(Table1[FULL AMOUNT mxn pesos], Table1[Month], A116, Table1[APARTMENT], B116)</f>
        <v>31206.800000000003</v>
      </c>
      <c r="D116">
        <f>SUMIFS(INCOME!C:C, INCOME!D:D, Table2[[#This Row],[Apt]], INCOME!J:J, Table2[[#This Row],[Month]])</f>
        <v>12</v>
      </c>
      <c r="E116" s="5">
        <f>SUMIFS(EXPENSES!$D:$D, EXPENSES!$C:$C, B116, EXPENSES!$F:$F, A116, EXPENSES!$E:$E, "Direct")</f>
        <v>28492</v>
      </c>
      <c r="F116" s="18">
        <f t="shared" si="10"/>
        <v>0.43377359172451374</v>
      </c>
      <c r="G116" s="5">
        <f>SUMIFS(EXPENSES!D:D, EXPENSES!F:F, Data_Consolidado!A116, EXPENSES!E:E, "Shared")</f>
        <v>2000</v>
      </c>
      <c r="H116" s="5">
        <f>G116*F116</f>
        <v>867.54718344902744</v>
      </c>
      <c r="I116" s="5">
        <f>E116+H116</f>
        <v>29359.547183449027</v>
      </c>
      <c r="J116" s="5">
        <f>C116-I116</f>
        <v>1847.2528165509757</v>
      </c>
      <c r="K116" s="18">
        <f>IF(C116=0, "-", (J116/C116))</f>
        <v>5.9193919804368778E-2</v>
      </c>
      <c r="L116">
        <f>SUMIFS(Reference_Nights[[#All],[Available_nights]], Reference_Nights[[#All],[Month]], Table2[[#This Row],[Month]], Reference_Nights[[#All],[Apt]], Table2[[#This Row],[Apt]])</f>
        <v>27</v>
      </c>
      <c r="M116" s="18">
        <f>IF(Table2[[#This Row],[Available _Nights]]=0, 0, Table2[[#This Row],[Booked_Nights]]/Table2[[#This Row],[Available _Nights]])</f>
        <v>0.44444444444444442</v>
      </c>
      <c r="N116" s="29">
        <f>IF(Table2[[#This Row],[Booked_Nights]]=0, 0, Table2[[#This Row],[Income]]/Table2[[#This Row],[Booked_Nights]])</f>
        <v>2600.5666666666671</v>
      </c>
      <c r="O116" s="29">
        <f>IF(L116=0,0, Table2[[#This Row],[Income]]/Table2[[#This Row],[Available _Nights]])</f>
        <v>1155.8074074074075</v>
      </c>
      <c r="P116" s="30">
        <f>IF(Table2[[#This Row],[Income]]=0,0,Table2[[#This Row],[Total_Exp]]/Table2[[#This Row],[Income]])</f>
        <v>0.94080608019563128</v>
      </c>
    </row>
    <row r="117" spans="1:16" x14ac:dyDescent="0.2">
      <c r="A117" s="13" t="s">
        <v>1128</v>
      </c>
      <c r="B117" t="s">
        <v>295</v>
      </c>
      <c r="C117" s="5">
        <f>SUMIFS(Table1[FULL AMOUNT mxn pesos], Table1[Month], A117, Table1[APARTMENT], B117)</f>
        <v>0</v>
      </c>
      <c r="D117">
        <f>SUMIFS(INCOME!C:C, INCOME!D:D, Table2[[#This Row],[Apt]], INCOME!J:J, Table2[[#This Row],[Month]])</f>
        <v>0</v>
      </c>
      <c r="E117" s="5">
        <f>SUMIFS(EXPENSES!$D:$D, EXPENSES!$C:$C, B117, EXPENSES!$F:$F, A117, EXPENSES!$E:$E, "Direct")</f>
        <v>28702</v>
      </c>
      <c r="F117" s="18">
        <f t="shared" si="10"/>
        <v>0</v>
      </c>
      <c r="G117" s="5">
        <f>SUMIFS(EXPENSES!D:D, EXPENSES!F:F, Data_Consolidado!A117, EXPENSES!E:E, "Shared")</f>
        <v>4620</v>
      </c>
      <c r="H117" s="5">
        <f t="shared" si="11"/>
        <v>0</v>
      </c>
      <c r="I117" s="5">
        <f t="shared" si="12"/>
        <v>28702</v>
      </c>
      <c r="J117" s="5">
        <f t="shared" si="15"/>
        <v>-28702</v>
      </c>
      <c r="K117" s="18" t="str">
        <f t="shared" si="14"/>
        <v>-</v>
      </c>
      <c r="L117">
        <f>SUMIFS(Reference_Nights[[#All],[Available_nights]], Reference_Nights[[#All],[Month]], Table2[[#This Row],[Month]], Reference_Nights[[#All],[Apt]], Table2[[#This Row],[Apt]])</f>
        <v>28</v>
      </c>
      <c r="M117" s="18">
        <f>IF(Table2[[#This Row],[Available _Nights]]=0, 0, Table2[[#This Row],[Booked_Nights]]/Table2[[#This Row],[Available _Nights]])</f>
        <v>0</v>
      </c>
      <c r="N117" s="29">
        <f>IF(Table2[[#This Row],[Booked_Nights]]=0, 0, Table2[[#This Row],[Income]]/Table2[[#This Row],[Booked_Nights]])</f>
        <v>0</v>
      </c>
      <c r="O117" s="29">
        <f>IF(L117=0,0, Table2[[#This Row],[Income]]/Table2[[#This Row],[Available _Nights]])</f>
        <v>0</v>
      </c>
      <c r="P117" s="30">
        <f>IF(Table2[[#This Row],[Income]]=0,0,Table2[[#This Row],[Total_Exp]]/Table2[[#This Row],[Income]])</f>
        <v>0</v>
      </c>
    </row>
    <row r="118" spans="1:16" x14ac:dyDescent="0.2">
      <c r="A118" s="13" t="s">
        <v>1128</v>
      </c>
      <c r="B118" t="s">
        <v>296</v>
      </c>
      <c r="C118" s="5">
        <f>SUMIFS(Table1[FULL AMOUNT mxn pesos], Table1[Month], A118, Table1[APARTMENT], B118)</f>
        <v>12480</v>
      </c>
      <c r="D118">
        <f>SUMIFS(INCOME!C:C, INCOME!D:D, Table2[[#This Row],[Apt]], INCOME!J:J, Table2[[#This Row],[Month]])</f>
        <v>6</v>
      </c>
      <c r="E118" s="5">
        <f>SUMIFS(EXPENSES!$D:$D, EXPENSES!$C:$C, B118, EXPENSES!$F:$F, A118, EXPENSES!$E:$E, "Direct")</f>
        <v>13520</v>
      </c>
      <c r="F118" s="18">
        <f t="shared" si="10"/>
        <v>0.48577700966883086</v>
      </c>
      <c r="G118" s="5">
        <f>SUMIFS(EXPENSES!D:D, EXPENSES!F:F, Data_Consolidado!A118, EXPENSES!E:E, "Shared")</f>
        <v>4620</v>
      </c>
      <c r="H118" s="5">
        <f t="shared" si="11"/>
        <v>2244.2897846699984</v>
      </c>
      <c r="I118" s="5">
        <f t="shared" si="12"/>
        <v>15764.289784669998</v>
      </c>
      <c r="J118" s="5">
        <f t="shared" si="15"/>
        <v>-3284.289784669998</v>
      </c>
      <c r="K118" s="18">
        <f t="shared" si="14"/>
        <v>-0.26316424556650625</v>
      </c>
      <c r="L118">
        <f>SUMIFS(Reference_Nights[[#All],[Available_nights]], Reference_Nights[[#All],[Month]], Table2[[#This Row],[Month]], Reference_Nights[[#All],[Apt]], Table2[[#This Row],[Apt]])</f>
        <v>28</v>
      </c>
      <c r="M118" s="18">
        <f>IF(Table2[[#This Row],[Available _Nights]]=0, 0, Table2[[#This Row],[Booked_Nights]]/Table2[[#This Row],[Available _Nights]])</f>
        <v>0.21428571428571427</v>
      </c>
      <c r="N118" s="29">
        <f>IF(Table2[[#This Row],[Booked_Nights]]=0, 0, Table2[[#This Row],[Income]]/Table2[[#This Row],[Booked_Nights]])</f>
        <v>2080</v>
      </c>
      <c r="O118" s="29">
        <f>IF(L118=0,0, Table2[[#This Row],[Income]]/Table2[[#This Row],[Available _Nights]])</f>
        <v>445.71428571428572</v>
      </c>
      <c r="P118" s="30">
        <f>IF(Table2[[#This Row],[Income]]=0,0,Table2[[#This Row],[Total_Exp]]/Table2[[#This Row],[Income]])</f>
        <v>1.2631642455665062</v>
      </c>
    </row>
    <row r="119" spans="1:16" x14ac:dyDescent="0.2">
      <c r="A119" s="13" t="s">
        <v>1128</v>
      </c>
      <c r="B119" t="s">
        <v>297</v>
      </c>
      <c r="C119" s="5">
        <f>SUMIFS(Table1[FULL AMOUNT mxn pesos], Table1[Month], A119, Table1[APARTMENT], B119)</f>
        <v>13210.8</v>
      </c>
      <c r="D119">
        <f>SUMIFS(INCOME!C:C, INCOME!D:D, Table2[[#This Row],[Apt]], INCOME!J:J, Table2[[#This Row],[Month]])</f>
        <v>6</v>
      </c>
      <c r="E119" s="5">
        <f>SUMIFS(EXPENSES!$D:$D, EXPENSES!$C:$C, B119, EXPENSES!$F:$F, A119, EXPENSES!$E:$E, "Direct")</f>
        <v>30002</v>
      </c>
      <c r="F119" s="18">
        <f t="shared" si="10"/>
        <v>0.51422299033116914</v>
      </c>
      <c r="G119" s="5">
        <f>SUMIFS(EXPENSES!D:D, EXPENSES!F:F, Data_Consolidado!A119, EXPENSES!E:E, "Shared")</f>
        <v>4620</v>
      </c>
      <c r="H119" s="5">
        <f>G119*F119</f>
        <v>2375.7102153300016</v>
      </c>
      <c r="I119" s="5">
        <f>E119+H119</f>
        <v>32377.71021533</v>
      </c>
      <c r="J119" s="5">
        <f>C119-I119</f>
        <v>-19166.910215330001</v>
      </c>
      <c r="K119" s="18">
        <f>IF(C119=0, "-", (J119/C119))</f>
        <v>-1.4508515922828293</v>
      </c>
      <c r="L119">
        <f>SUMIFS(Reference_Nights[[#All],[Available_nights]], Reference_Nights[[#All],[Month]], Table2[[#This Row],[Month]], Reference_Nights[[#All],[Apt]], Table2[[#This Row],[Apt]])</f>
        <v>28</v>
      </c>
      <c r="M119" s="18">
        <f>IF(Table2[[#This Row],[Available _Nights]]=0, 0, Table2[[#This Row],[Booked_Nights]]/Table2[[#This Row],[Available _Nights]])</f>
        <v>0.21428571428571427</v>
      </c>
      <c r="N119" s="29">
        <f>IF(Table2[[#This Row],[Booked_Nights]]=0, 0, Table2[[#This Row],[Income]]/Table2[[#This Row],[Booked_Nights]])</f>
        <v>2201.7999999999997</v>
      </c>
      <c r="O119" s="29">
        <f>IF(L119=0,0, Table2[[#This Row],[Income]]/Table2[[#This Row],[Available _Nights]])</f>
        <v>471.81428571428569</v>
      </c>
      <c r="P119" s="30">
        <f>IF(Table2[[#This Row],[Income]]=0,0,Table2[[#This Row],[Total_Exp]]/Table2[[#This Row],[Income]])</f>
        <v>2.4508515922828296</v>
      </c>
    </row>
    <row r="120" spans="1:16" x14ac:dyDescent="0.2">
      <c r="A120" s="13" t="s">
        <v>1129</v>
      </c>
      <c r="B120" t="s">
        <v>295</v>
      </c>
      <c r="C120" s="5">
        <f>SUMIFS(Table1[FULL AMOUNT mxn pesos], Table1[Month], A120, Table1[APARTMENT], B120)</f>
        <v>0</v>
      </c>
      <c r="D120">
        <f>SUMIFS(INCOME!C:C, INCOME!D:D, Table2[[#This Row],[Apt]], INCOME!J:J, Table2[[#This Row],[Month]])</f>
        <v>0</v>
      </c>
      <c r="E120" s="5">
        <f>SUMIFS(EXPENSES!$D:$D, EXPENSES!$C:$C, B120, EXPENSES!$F:$F, A120, EXPENSES!$E:$E, "Direct")</f>
        <v>24816</v>
      </c>
      <c r="F120" s="18">
        <f t="shared" si="10"/>
        <v>0</v>
      </c>
      <c r="G120" s="5">
        <f>SUMIFS(EXPENSES!D:D, EXPENSES!F:F, Data_Consolidado!A120, EXPENSES!E:E, "Shared")</f>
        <v>6200</v>
      </c>
      <c r="H120" s="5">
        <f t="shared" si="11"/>
        <v>0</v>
      </c>
      <c r="I120" s="5">
        <f t="shared" si="12"/>
        <v>24816</v>
      </c>
      <c r="J120" s="5">
        <f t="shared" si="15"/>
        <v>-24816</v>
      </c>
      <c r="K120" s="18" t="str">
        <f t="shared" si="14"/>
        <v>-</v>
      </c>
      <c r="L120">
        <f>SUMIFS(Reference_Nights[[#All],[Available_nights]], Reference_Nights[[#All],[Month]], Table2[[#This Row],[Month]], Reference_Nights[[#All],[Apt]], Table2[[#This Row],[Apt]])</f>
        <v>27</v>
      </c>
      <c r="M120" s="18">
        <f>IF(Table2[[#This Row],[Available _Nights]]=0, 0, Table2[[#This Row],[Booked_Nights]]/Table2[[#This Row],[Available _Nights]])</f>
        <v>0</v>
      </c>
      <c r="N120" s="29">
        <f>IF(Table2[[#This Row],[Booked_Nights]]=0, 0, Table2[[#This Row],[Income]]/Table2[[#This Row],[Booked_Nights]])</f>
        <v>0</v>
      </c>
      <c r="O120" s="29">
        <f>IF(L120=0,0, Table2[[#This Row],[Income]]/Table2[[#This Row],[Available _Nights]])</f>
        <v>0</v>
      </c>
      <c r="P120" s="30">
        <f>IF(Table2[[#This Row],[Income]]=0,0,Table2[[#This Row],[Total_Exp]]/Table2[[#This Row],[Income]])</f>
        <v>0</v>
      </c>
    </row>
    <row r="121" spans="1:16" x14ac:dyDescent="0.2">
      <c r="A121" s="13" t="s">
        <v>1129</v>
      </c>
      <c r="B121" t="s">
        <v>296</v>
      </c>
      <c r="C121" s="5">
        <f>SUMIFS(Table1[FULL AMOUNT mxn pesos], Table1[Month], A121, Table1[APARTMENT], B121)</f>
        <v>4960.4000000000005</v>
      </c>
      <c r="D121">
        <f>SUMIFS(INCOME!C:C, INCOME!D:D, Table2[[#This Row],[Apt]], INCOME!J:J, Table2[[#This Row],[Month]])</f>
        <v>2</v>
      </c>
      <c r="E121" s="5">
        <f>SUMIFS(EXPENSES!$D:$D, EXPENSES!$C:$C, B121, EXPENSES!$F:$F, A121, EXPENSES!$E:$E, "Direct")</f>
        <v>12400</v>
      </c>
      <c r="F121" s="18">
        <f t="shared" si="10"/>
        <v>1</v>
      </c>
      <c r="G121" s="5">
        <f>SUMIFS(EXPENSES!D:D, EXPENSES!F:F, Data_Consolidado!A121, EXPENSES!E:E, "Shared")</f>
        <v>6200</v>
      </c>
      <c r="H121" s="5">
        <f t="shared" si="11"/>
        <v>6200</v>
      </c>
      <c r="I121" s="5">
        <f t="shared" si="12"/>
        <v>18600</v>
      </c>
      <c r="J121" s="5">
        <f t="shared" si="15"/>
        <v>-13639.599999999999</v>
      </c>
      <c r="K121" s="18">
        <f t="shared" si="14"/>
        <v>-2.7496976050318516</v>
      </c>
      <c r="L121">
        <f>SUMIFS(Reference_Nights[[#All],[Available_nights]], Reference_Nights[[#All],[Month]], Table2[[#This Row],[Month]], Reference_Nights[[#All],[Apt]], Table2[[#This Row],[Apt]])</f>
        <v>27</v>
      </c>
      <c r="M121" s="18">
        <f>IF(Table2[[#This Row],[Available _Nights]]=0, 0, Table2[[#This Row],[Booked_Nights]]/Table2[[#This Row],[Available _Nights]])</f>
        <v>7.407407407407407E-2</v>
      </c>
      <c r="N121" s="29">
        <f>IF(Table2[[#This Row],[Booked_Nights]]=0, 0, Table2[[#This Row],[Income]]/Table2[[#This Row],[Booked_Nights]])</f>
        <v>2480.2000000000003</v>
      </c>
      <c r="O121" s="29">
        <f>IF(L121=0,0, Table2[[#This Row],[Income]]/Table2[[#This Row],[Available _Nights]])</f>
        <v>183.71851851851855</v>
      </c>
      <c r="P121" s="30">
        <f>IF(Table2[[#This Row],[Income]]=0,0,Table2[[#This Row],[Total_Exp]]/Table2[[#This Row],[Income]])</f>
        <v>3.749697605031852</v>
      </c>
    </row>
    <row r="122" spans="1:16" x14ac:dyDescent="0.2">
      <c r="A122" s="13" t="s">
        <v>1130</v>
      </c>
      <c r="B122" t="s">
        <v>295</v>
      </c>
      <c r="C122" s="5">
        <f>SUMIFS(Table1[FULL AMOUNT mxn pesos], Table1[Month], A122, Table1[APARTMENT], B122)</f>
        <v>23780</v>
      </c>
      <c r="D122">
        <f>SUMIFS(INCOME!C:C, INCOME!D:D, Table2[[#This Row],[Apt]], INCOME!J:J, Table2[[#This Row],[Month]])</f>
        <v>11</v>
      </c>
      <c r="E122" s="5">
        <f>SUMIFS(EXPENSES!$D:$D, EXPENSES!$C:$C, B122, EXPENSES!$F:$F, A122, EXPENSES!$E:$E, "Direct")</f>
        <v>26184</v>
      </c>
      <c r="F122" s="18">
        <f t="shared" si="10"/>
        <v>0.84719193991991215</v>
      </c>
      <c r="G122" s="5">
        <f>SUMIFS(EXPENSES!D:D, EXPENSES!F:F, Data_Consolidado!A122, EXPENSES!E:E, "Shared")</f>
        <v>7200</v>
      </c>
      <c r="H122" s="5">
        <f t="shared" si="11"/>
        <v>6099.7819674233679</v>
      </c>
      <c r="I122" s="5">
        <f t="shared" si="12"/>
        <v>32283.781967423369</v>
      </c>
      <c r="J122" s="5">
        <f t="shared" si="15"/>
        <v>-8503.7819674233688</v>
      </c>
      <c r="K122" s="18">
        <f t="shared" si="14"/>
        <v>-0.35760226944589441</v>
      </c>
      <c r="L122">
        <f>SUMIFS(Reference_Nights[[#All],[Available_nights]], Reference_Nights[[#All],[Month]], Table2[[#This Row],[Month]], Reference_Nights[[#All],[Apt]], Table2[[#This Row],[Apt]])</f>
        <v>28</v>
      </c>
      <c r="M122" s="18">
        <f>IF(Table2[[#This Row],[Available _Nights]]=0, 0, Table2[[#This Row],[Booked_Nights]]/Table2[[#This Row],[Available _Nights]])</f>
        <v>0.39285714285714285</v>
      </c>
      <c r="N122" s="29">
        <f>IF(Table2[[#This Row],[Booked_Nights]]=0, 0, Table2[[#This Row],[Income]]/Table2[[#This Row],[Booked_Nights]])</f>
        <v>2161.818181818182</v>
      </c>
      <c r="O122" s="29">
        <f>IF(L122=0,0, Table2[[#This Row],[Income]]/Table2[[#This Row],[Available _Nights]])</f>
        <v>849.28571428571433</v>
      </c>
      <c r="P122" s="30">
        <f>IF(Table2[[#This Row],[Income]]=0,0,Table2[[#This Row],[Total_Exp]]/Table2[[#This Row],[Income]])</f>
        <v>1.3576022694458945</v>
      </c>
    </row>
    <row r="123" spans="1:16" x14ac:dyDescent="0.2">
      <c r="A123" s="13" t="s">
        <v>1130</v>
      </c>
      <c r="B123" t="s">
        <v>296</v>
      </c>
      <c r="C123" s="5">
        <f>SUMIFS(Table1[FULL AMOUNT mxn pesos], Table1[Month], A123, Table1[APARTMENT], B123)</f>
        <v>4289.2</v>
      </c>
      <c r="D123">
        <f>SUMIFS(INCOME!C:C, INCOME!D:D, Table2[[#This Row],[Apt]], INCOME!J:J, Table2[[#This Row],[Month]])</f>
        <v>2</v>
      </c>
      <c r="E123" s="5">
        <f>SUMIFS(EXPENSES!$D:$D, EXPENSES!$C:$C, B123, EXPENSES!$F:$F, A123, EXPENSES!$E:$E, "Direct")</f>
        <v>11000</v>
      </c>
      <c r="F123" s="18">
        <f t="shared" si="10"/>
        <v>0.15280806008008777</v>
      </c>
      <c r="G123" s="5">
        <f>SUMIFS(EXPENSES!D:D, EXPENSES!F:F, Data_Consolidado!A123, EXPENSES!E:E, "Shared")</f>
        <v>7200</v>
      </c>
      <c r="H123" s="5">
        <f t="shared" si="11"/>
        <v>1100.2180325766319</v>
      </c>
      <c r="I123" s="5">
        <f t="shared" si="12"/>
        <v>12100.218032576631</v>
      </c>
      <c r="J123" s="5">
        <f t="shared" si="15"/>
        <v>-7811.0180325766314</v>
      </c>
      <c r="K123" s="18">
        <f t="shared" si="14"/>
        <v>-1.8210897212945611</v>
      </c>
      <c r="L123">
        <f>SUMIFS(Reference_Nights[[#All],[Available_nights]], Reference_Nights[[#All],[Month]], Table2[[#This Row],[Month]], Reference_Nights[[#All],[Apt]], Table2[[#This Row],[Apt]])</f>
        <v>28</v>
      </c>
      <c r="M123" s="18">
        <f>IF(Table2[[#This Row],[Available _Nights]]=0, 0, Table2[[#This Row],[Booked_Nights]]/Table2[[#This Row],[Available _Nights]])</f>
        <v>7.1428571428571425E-2</v>
      </c>
      <c r="N123" s="29">
        <f>IF(Table2[[#This Row],[Booked_Nights]]=0, 0, Table2[[#This Row],[Income]]/Table2[[#This Row],[Booked_Nights]])</f>
        <v>2144.6</v>
      </c>
      <c r="O123" s="29">
        <f>IF(L123=0,0, Table2[[#This Row],[Income]]/Table2[[#This Row],[Available _Nights]])</f>
        <v>153.18571428571428</v>
      </c>
      <c r="P123" s="30">
        <f>IF(Table2[[#This Row],[Income]]=0,0,Table2[[#This Row],[Total_Exp]]/Table2[[#This Row],[Income]])</f>
        <v>2.8210897212945611</v>
      </c>
    </row>
    <row r="124" spans="1:16" x14ac:dyDescent="0.2">
      <c r="A124" s="13" t="s">
        <v>1131</v>
      </c>
      <c r="B124" t="s">
        <v>295</v>
      </c>
      <c r="C124" s="5">
        <f>SUMIFS(Table1[FULL AMOUNT mxn pesos], Table1[Month], A124, Table1[APARTMENT], B124)</f>
        <v>3808.3999999999996</v>
      </c>
      <c r="D124">
        <f>SUMIFS(INCOME!C:C, INCOME!D:D, Table2[[#This Row],[Apt]], INCOME!J:J, Table2[[#This Row],[Month]])</f>
        <v>2</v>
      </c>
      <c r="E124" s="5">
        <f>SUMIFS(EXPENSES!$D:$D, EXPENSES!$C:$C, B124, EXPENSES!$F:$F, A124, EXPENSES!$E:$E, "Direct")</f>
        <v>27442</v>
      </c>
      <c r="F124" s="18">
        <f t="shared" si="10"/>
        <v>1</v>
      </c>
      <c r="G124" s="5">
        <f>SUMIFS(EXPENSES!D:D, EXPENSES!F:F, Data_Consolidado!A124, EXPENSES!E:E, "Shared")</f>
        <v>1700</v>
      </c>
      <c r="H124" s="5">
        <f>G124*F124</f>
        <v>1700</v>
      </c>
      <c r="I124" s="5">
        <f t="shared" si="12"/>
        <v>29142</v>
      </c>
      <c r="J124" s="5">
        <f t="shared" si="15"/>
        <v>-25333.599999999999</v>
      </c>
      <c r="K124" s="18">
        <f t="shared" si="14"/>
        <v>-6.6520323495431155</v>
      </c>
      <c r="L124">
        <f>SUMIFS(Reference_Nights[[#All],[Available_nights]], Reference_Nights[[#All],[Month]], Table2[[#This Row],[Month]], Reference_Nights[[#All],[Apt]], Table2[[#This Row],[Apt]])</f>
        <v>28</v>
      </c>
      <c r="M124" s="18">
        <f>IF(Table2[[#This Row],[Available _Nights]]=0, 0, Table2[[#This Row],[Booked_Nights]]/Table2[[#This Row],[Available _Nights]])</f>
        <v>7.1428571428571425E-2</v>
      </c>
      <c r="N124" s="29">
        <f>IF(Table2[[#This Row],[Booked_Nights]]=0, 0, Table2[[#This Row],[Income]]/Table2[[#This Row],[Booked_Nights]])</f>
        <v>1904.1999999999998</v>
      </c>
      <c r="O124" s="29">
        <f>IF(L124=0,0, Table2[[#This Row],[Income]]/Table2[[#This Row],[Available _Nights]])</f>
        <v>136.01428571428571</v>
      </c>
      <c r="P124" s="30">
        <f>IF(Table2[[#This Row],[Income]]=0,0,Table2[[#This Row],[Total_Exp]]/Table2[[#This Row],[Income]])</f>
        <v>7.6520323495431155</v>
      </c>
    </row>
    <row r="125" spans="1:16" x14ac:dyDescent="0.2">
      <c r="A125" s="13" t="s">
        <v>1131</v>
      </c>
      <c r="B125" t="s">
        <v>296</v>
      </c>
      <c r="C125" s="5">
        <f>SUMIFS(Table1[FULL AMOUNT mxn pesos], Table1[Month], A125, Table1[APARTMENT], B125)</f>
        <v>0</v>
      </c>
      <c r="D125">
        <f>SUMIFS(INCOME!C:C, INCOME!D:D, Table2[[#This Row],[Apt]], INCOME!J:J, Table2[[#This Row],[Month]])</f>
        <v>0</v>
      </c>
      <c r="E125" s="5">
        <f>SUMIFS(EXPENSES!$D:$D, EXPENSES!$C:$C, B125, EXPENSES!$F:$F, A125, EXPENSES!$E:$E, "Direct")</f>
        <v>11000</v>
      </c>
      <c r="F125" s="18">
        <f t="shared" si="10"/>
        <v>0</v>
      </c>
      <c r="G125" s="5">
        <f>SUMIFS(EXPENSES!D:D, EXPENSES!F:F, Data_Consolidado!A125, EXPENSES!E:E, "Shared")</f>
        <v>1700</v>
      </c>
      <c r="H125" s="5">
        <f t="shared" ref="H125:H143" si="16">G125*F125</f>
        <v>0</v>
      </c>
      <c r="I125" s="5">
        <f t="shared" si="12"/>
        <v>11000</v>
      </c>
      <c r="J125" s="5">
        <f t="shared" si="15"/>
        <v>-11000</v>
      </c>
      <c r="K125" s="18" t="str">
        <f t="shared" si="14"/>
        <v>-</v>
      </c>
      <c r="L125">
        <f>SUMIFS(Reference_Nights[[#All],[Available_nights]], Reference_Nights[[#All],[Month]], Table2[[#This Row],[Month]], Reference_Nights[[#All],[Apt]], Table2[[#This Row],[Apt]])</f>
        <v>28</v>
      </c>
      <c r="M125" s="18">
        <f>IF(Table2[[#This Row],[Available _Nights]]=0, 0, Table2[[#This Row],[Booked_Nights]]/Table2[[#This Row],[Available _Nights]])</f>
        <v>0</v>
      </c>
      <c r="N125" s="29">
        <f>IF(Table2[[#This Row],[Booked_Nights]]=0, 0, Table2[[#This Row],[Income]]/Table2[[#This Row],[Booked_Nights]])</f>
        <v>0</v>
      </c>
      <c r="O125" s="29">
        <f>IF(L125=0,0, Table2[[#This Row],[Income]]/Table2[[#This Row],[Available _Nights]])</f>
        <v>0</v>
      </c>
      <c r="P125" s="30">
        <f>IF(Table2[[#This Row],[Income]]=0,0,Table2[[#This Row],[Total_Exp]]/Table2[[#This Row],[Income]])</f>
        <v>0</v>
      </c>
    </row>
    <row r="126" spans="1:16" x14ac:dyDescent="0.2">
      <c r="A126" s="13" t="s">
        <v>1132</v>
      </c>
      <c r="B126" t="s">
        <v>295</v>
      </c>
      <c r="C126" s="5">
        <f>SUMIFS(Table1[FULL AMOUNT mxn pesos], Table1[Month], A126, Table1[APARTMENT], B126)</f>
        <v>0</v>
      </c>
      <c r="D126">
        <f>SUMIFS(INCOME!C:C, INCOME!D:D, Table2[[#This Row],[Apt]], INCOME!J:J, Table2[[#This Row],[Month]])</f>
        <v>0</v>
      </c>
      <c r="E126" s="5">
        <f>SUMIFS(EXPENSES!$D:$D, EXPENSES!$C:$C, B126, EXPENSES!$F:$F, A126, EXPENSES!$E:$E, "Direct")</f>
        <v>24662</v>
      </c>
      <c r="F126" s="18">
        <f t="shared" si="10"/>
        <v>0</v>
      </c>
      <c r="G126" s="5">
        <f>SUMIFS(EXPENSES!D:D, EXPENSES!F:F, Data_Consolidado!A126, EXPENSES!E:E, "Shared")</f>
        <v>5600</v>
      </c>
      <c r="H126" s="5">
        <f>Table2[[#This Row],[Shared_Total]]/2</f>
        <v>2800</v>
      </c>
      <c r="I126" s="5">
        <f t="shared" si="12"/>
        <v>27462</v>
      </c>
      <c r="J126" s="5">
        <f t="shared" si="15"/>
        <v>-27462</v>
      </c>
      <c r="K126" s="18" t="str">
        <f t="shared" si="14"/>
        <v>-</v>
      </c>
      <c r="L126">
        <f>SUMIFS(Reference_Nights[[#All],[Available_nights]], Reference_Nights[[#All],[Month]], Table2[[#This Row],[Month]], Reference_Nights[[#All],[Apt]], Table2[[#This Row],[Apt]])</f>
        <v>27</v>
      </c>
      <c r="M126" s="18">
        <f>IF(Table2[[#This Row],[Available _Nights]]=0, 0, Table2[[#This Row],[Booked_Nights]]/Table2[[#This Row],[Available _Nights]])</f>
        <v>0</v>
      </c>
      <c r="N126" s="29">
        <f>IF(Table2[[#This Row],[Booked_Nights]]=0, 0, Table2[[#This Row],[Income]]/Table2[[#This Row],[Booked_Nights]])</f>
        <v>0</v>
      </c>
      <c r="O126" s="29">
        <f>IF(L126=0,0, Table2[[#This Row],[Income]]/Table2[[#This Row],[Available _Nights]])</f>
        <v>0</v>
      </c>
      <c r="P126" s="30">
        <f>IF(Table2[[#This Row],[Income]]=0,0,Table2[[#This Row],[Total_Exp]]/Table2[[#This Row],[Income]])</f>
        <v>0</v>
      </c>
    </row>
    <row r="127" spans="1:16" x14ac:dyDescent="0.2">
      <c r="A127" s="13" t="s">
        <v>1132</v>
      </c>
      <c r="B127" t="s">
        <v>296</v>
      </c>
      <c r="C127" s="5">
        <f>SUMIFS(Table1[FULL AMOUNT mxn pesos], Table1[Month], A127, Table1[APARTMENT], B127)</f>
        <v>0</v>
      </c>
      <c r="D127">
        <f>SUMIFS(INCOME!C:C, INCOME!D:D, Table2[[#This Row],[Apt]], INCOME!J:J, Table2[[#This Row],[Month]])</f>
        <v>0</v>
      </c>
      <c r="E127" s="5">
        <f>SUMIFS(EXPENSES!$D:$D, EXPENSES!$C:$C, B127, EXPENSES!$F:$F, A127, EXPENSES!$E:$E, "Direct")</f>
        <v>11600</v>
      </c>
      <c r="F127" s="18">
        <f t="shared" si="10"/>
        <v>0</v>
      </c>
      <c r="G127" s="5">
        <f>SUMIFS(EXPENSES!D:D, EXPENSES!F:F, Data_Consolidado!A127, EXPENSES!E:E, "Shared")</f>
        <v>5600</v>
      </c>
      <c r="H127" s="5">
        <f>Table2[[#This Row],[Shared_Total]]/2</f>
        <v>2800</v>
      </c>
      <c r="I127" s="5">
        <f t="shared" si="12"/>
        <v>14400</v>
      </c>
      <c r="J127" s="5">
        <f t="shared" si="15"/>
        <v>-14400</v>
      </c>
      <c r="K127" s="18" t="str">
        <f t="shared" si="14"/>
        <v>-</v>
      </c>
      <c r="L127">
        <f>SUMIFS(Reference_Nights[[#All],[Available_nights]], Reference_Nights[[#All],[Month]], Table2[[#This Row],[Month]], Reference_Nights[[#All],[Apt]], Table2[[#This Row],[Apt]])</f>
        <v>27</v>
      </c>
      <c r="M127" s="18">
        <f>IF(Table2[[#This Row],[Available _Nights]]=0, 0, Table2[[#This Row],[Booked_Nights]]/Table2[[#This Row],[Available _Nights]])</f>
        <v>0</v>
      </c>
      <c r="N127" s="29">
        <f>IF(Table2[[#This Row],[Booked_Nights]]=0, 0, Table2[[#This Row],[Income]]/Table2[[#This Row],[Booked_Nights]])</f>
        <v>0</v>
      </c>
      <c r="O127" s="29">
        <f>IF(L127=0,0, Table2[[#This Row],[Income]]/Table2[[#This Row],[Available _Nights]])</f>
        <v>0</v>
      </c>
      <c r="P127" s="30">
        <f>IF(Table2[[#This Row],[Income]]=0,0,Table2[[#This Row],[Total_Exp]]/Table2[[#This Row],[Income]])</f>
        <v>0</v>
      </c>
    </row>
    <row r="128" spans="1:16" x14ac:dyDescent="0.2">
      <c r="A128" s="13" t="s">
        <v>1133</v>
      </c>
      <c r="B128" t="s">
        <v>295</v>
      </c>
      <c r="C128" s="5">
        <f>SUMIFS(Table1[FULL AMOUNT mxn pesos], Table1[Month], A128, Table1[APARTMENT], B128)</f>
        <v>5400</v>
      </c>
      <c r="D128">
        <f>SUMIFS(INCOME!C:C, INCOME!D:D, Table2[[#This Row],[Apt]], INCOME!J:J, Table2[[#This Row],[Month]])</f>
        <v>3</v>
      </c>
      <c r="E128" s="5">
        <f>SUMIFS(EXPENSES!$D:$D, EXPENSES!$C:$C, B128, EXPENSES!$F:$F, A128, EXPENSES!$E:$E, "Direct")</f>
        <v>24389</v>
      </c>
      <c r="F128" s="18">
        <f t="shared" si="10"/>
        <v>1</v>
      </c>
      <c r="G128" s="5">
        <f>SUMIFS(EXPENSES!D:D, EXPENSES!F:F, Data_Consolidado!A128, EXPENSES!E:E, "Shared")</f>
        <v>4000</v>
      </c>
      <c r="H128" s="5">
        <f t="shared" si="16"/>
        <v>4000</v>
      </c>
      <c r="I128" s="5">
        <f t="shared" si="12"/>
        <v>28389</v>
      </c>
      <c r="J128" s="5">
        <f t="shared" si="15"/>
        <v>-22989</v>
      </c>
      <c r="K128" s="18">
        <f t="shared" si="14"/>
        <v>-4.2572222222222225</v>
      </c>
      <c r="L128">
        <f>SUMIFS(Reference_Nights[[#All],[Available_nights]], Reference_Nights[[#All],[Month]], Table2[[#This Row],[Month]], Reference_Nights[[#All],[Apt]], Table2[[#This Row],[Apt]])</f>
        <v>28</v>
      </c>
      <c r="M128" s="18">
        <f>IF(Table2[[#This Row],[Available _Nights]]=0, 0, Table2[[#This Row],[Booked_Nights]]/Table2[[#This Row],[Available _Nights]])</f>
        <v>0.10714285714285714</v>
      </c>
      <c r="N128" s="29">
        <f>IF(Table2[[#This Row],[Booked_Nights]]=0, 0, Table2[[#This Row],[Income]]/Table2[[#This Row],[Booked_Nights]])</f>
        <v>1800</v>
      </c>
      <c r="O128" s="29">
        <f>IF(L128=0,0, Table2[[#This Row],[Income]]/Table2[[#This Row],[Available _Nights]])</f>
        <v>192.85714285714286</v>
      </c>
      <c r="P128" s="30">
        <f>IF(Table2[[#This Row],[Income]]=0,0,Table2[[#This Row],[Total_Exp]]/Table2[[#This Row],[Income]])</f>
        <v>5.2572222222222225</v>
      </c>
    </row>
    <row r="129" spans="1:16" x14ac:dyDescent="0.2">
      <c r="A129" s="13" t="s">
        <v>1133</v>
      </c>
      <c r="B129" t="s">
        <v>296</v>
      </c>
      <c r="C129" s="5">
        <f>SUMIFS(Table1[FULL AMOUNT mxn pesos], Table1[Month], A129, Table1[APARTMENT], B129)</f>
        <v>0</v>
      </c>
      <c r="D129">
        <f>SUMIFS(INCOME!C:C, INCOME!D:D, Table2[[#This Row],[Apt]], INCOME!J:J, Table2[[#This Row],[Month]])</f>
        <v>0</v>
      </c>
      <c r="E129" s="5">
        <f>SUMIFS(EXPENSES!$D:$D, EXPENSES!$C:$C, B129, EXPENSES!$F:$F, A129, EXPENSES!$E:$E, "Direct")</f>
        <v>12500</v>
      </c>
      <c r="F129" s="18">
        <f t="shared" si="10"/>
        <v>0</v>
      </c>
      <c r="G129" s="5">
        <f>SUMIFS(EXPENSES!D:D, EXPENSES!F:F, Data_Consolidado!A129, EXPENSES!E:E, "Shared")</f>
        <v>4000</v>
      </c>
      <c r="H129" s="5">
        <f t="shared" si="16"/>
        <v>0</v>
      </c>
      <c r="I129" s="5">
        <f t="shared" si="12"/>
        <v>12500</v>
      </c>
      <c r="J129" s="5">
        <f t="shared" si="15"/>
        <v>-12500</v>
      </c>
      <c r="K129" s="18" t="str">
        <f t="shared" si="14"/>
        <v>-</v>
      </c>
      <c r="L129">
        <f>SUMIFS(Reference_Nights[[#All],[Available_nights]], Reference_Nights[[#All],[Month]], Table2[[#This Row],[Month]], Reference_Nights[[#All],[Apt]], Table2[[#This Row],[Apt]])</f>
        <v>28</v>
      </c>
      <c r="M129" s="18">
        <f>IF(Table2[[#This Row],[Available _Nights]]=0, 0, Table2[[#This Row],[Booked_Nights]]/Table2[[#This Row],[Available _Nights]])</f>
        <v>0</v>
      </c>
      <c r="N129" s="29">
        <f>IF(Table2[[#This Row],[Booked_Nights]]=0, 0, Table2[[#This Row],[Income]]/Table2[[#This Row],[Booked_Nights]])</f>
        <v>0</v>
      </c>
      <c r="O129" s="29">
        <f>IF(L129=0,0, Table2[[#This Row],[Income]]/Table2[[#This Row],[Available _Nights]])</f>
        <v>0</v>
      </c>
      <c r="P129" s="30">
        <f>IF(Table2[[#This Row],[Income]]=0,0,Table2[[#This Row],[Total_Exp]]/Table2[[#This Row],[Income]])</f>
        <v>0</v>
      </c>
    </row>
    <row r="130" spans="1:16" x14ac:dyDescent="0.2">
      <c r="A130" s="13" t="s">
        <v>1134</v>
      </c>
      <c r="B130" t="s">
        <v>295</v>
      </c>
      <c r="C130" s="5">
        <f>SUMIFS(Table1[FULL AMOUNT mxn pesos], Table1[Month], A130, Table1[APARTMENT], B130)</f>
        <v>48000</v>
      </c>
      <c r="D130">
        <f>SUMIFS(INCOME!C:C, INCOME!D:D, Table2[[#This Row],[Apt]], INCOME!J:J, Table2[[#This Row],[Month]])</f>
        <v>21</v>
      </c>
      <c r="E130" s="5">
        <f>SUMIFS(EXPENSES!$D:$D, EXPENSES!$C:$C, B130, EXPENSES!$F:$F, A130, EXPENSES!$E:$E, "Direct")</f>
        <v>24141</v>
      </c>
      <c r="F130" s="18">
        <f t="shared" ref="F130:F143" si="17">IF(C130=0,0,C130/SUMIF(A:A,A130,C:C))</f>
        <v>1</v>
      </c>
      <c r="G130" s="5">
        <f>SUMIFS(EXPENSES!D:D, EXPENSES!F:F, Data_Consolidado!A130, EXPENSES!E:E, "Shared")</f>
        <v>500</v>
      </c>
      <c r="H130" s="5">
        <f t="shared" si="16"/>
        <v>500</v>
      </c>
      <c r="I130" s="5">
        <f t="shared" si="12"/>
        <v>24641</v>
      </c>
      <c r="J130" s="5">
        <f t="shared" si="15"/>
        <v>23359</v>
      </c>
      <c r="K130" s="18">
        <f t="shared" si="14"/>
        <v>0.48664583333333333</v>
      </c>
      <c r="L130">
        <f>SUMIFS(Reference_Nights[[#All],[Available_nights]], Reference_Nights[[#All],[Month]], Table2[[#This Row],[Month]], Reference_Nights[[#All],[Apt]], Table2[[#This Row],[Apt]])</f>
        <v>27</v>
      </c>
      <c r="M130" s="18">
        <f>IF(Table2[[#This Row],[Available _Nights]]=0, 0, Table2[[#This Row],[Booked_Nights]]/Table2[[#This Row],[Available _Nights]])</f>
        <v>0.77777777777777779</v>
      </c>
      <c r="N130" s="29">
        <f>IF(Table2[[#This Row],[Booked_Nights]]=0, 0, Table2[[#This Row],[Income]]/Table2[[#This Row],[Booked_Nights]])</f>
        <v>2285.7142857142858</v>
      </c>
      <c r="O130" s="29">
        <f>IF(L130=0,0, Table2[[#This Row],[Income]]/Table2[[#This Row],[Available _Nights]])</f>
        <v>1777.7777777777778</v>
      </c>
      <c r="P130" s="30">
        <f>IF(Table2[[#This Row],[Income]]=0,0,Table2[[#This Row],[Total_Exp]]/Table2[[#This Row],[Income]])</f>
        <v>0.51335416666666667</v>
      </c>
    </row>
    <row r="131" spans="1:16" x14ac:dyDescent="0.2">
      <c r="A131" s="13" t="s">
        <v>1134</v>
      </c>
      <c r="B131" t="s">
        <v>296</v>
      </c>
      <c r="C131" s="5">
        <f>SUMIFS(Table1[FULL AMOUNT mxn pesos], Table1[Month], A131, Table1[APARTMENT], B131)</f>
        <v>0</v>
      </c>
      <c r="D131">
        <f>SUMIFS(INCOME!C:C, INCOME!D:D, Table2[[#This Row],[Apt]], INCOME!J:J, Table2[[#This Row],[Month]])</f>
        <v>0</v>
      </c>
      <c r="E131" s="5">
        <f>SUMIFS(EXPENSES!$D:$D, EXPENSES!$C:$C, B131, EXPENSES!$F:$F, A131, EXPENSES!$E:$E, "Direct")</f>
        <v>14400</v>
      </c>
      <c r="F131" s="18">
        <f t="shared" si="17"/>
        <v>0</v>
      </c>
      <c r="G131" s="5">
        <f>SUMIFS(EXPENSES!D:D, EXPENSES!F:F, Data_Consolidado!A131, EXPENSES!E:E, "Shared")</f>
        <v>500</v>
      </c>
      <c r="H131" s="5">
        <f t="shared" si="16"/>
        <v>0</v>
      </c>
      <c r="I131" s="5">
        <f t="shared" si="12"/>
        <v>14400</v>
      </c>
      <c r="J131" s="5">
        <f t="shared" si="15"/>
        <v>-14400</v>
      </c>
      <c r="K131" s="18" t="str">
        <f t="shared" si="14"/>
        <v>-</v>
      </c>
      <c r="L131">
        <f>SUMIFS(Reference_Nights[[#All],[Available_nights]], Reference_Nights[[#All],[Month]], Table2[[#This Row],[Month]], Reference_Nights[[#All],[Apt]], Table2[[#This Row],[Apt]])</f>
        <v>27</v>
      </c>
      <c r="M131" s="18">
        <f>IF(Table2[[#This Row],[Available _Nights]]=0, 0, Table2[[#This Row],[Booked_Nights]]/Table2[[#This Row],[Available _Nights]])</f>
        <v>0</v>
      </c>
      <c r="N131" s="29">
        <f>IF(Table2[[#This Row],[Booked_Nights]]=0, 0, Table2[[#This Row],[Income]]/Table2[[#This Row],[Booked_Nights]])</f>
        <v>0</v>
      </c>
      <c r="O131" s="29">
        <f>IF(L131=0,0, Table2[[#This Row],[Income]]/Table2[[#This Row],[Available _Nights]])</f>
        <v>0</v>
      </c>
      <c r="P131" s="30">
        <f>IF(Table2[[#This Row],[Income]]=0,0,Table2[[#This Row],[Total_Exp]]/Table2[[#This Row],[Income]])</f>
        <v>0</v>
      </c>
    </row>
    <row r="132" spans="1:16" x14ac:dyDescent="0.2">
      <c r="A132" s="13" t="s">
        <v>1135</v>
      </c>
      <c r="B132" t="s">
        <v>295</v>
      </c>
      <c r="C132" s="5">
        <f>SUMIFS(Table1[FULL AMOUNT mxn pesos], Table1[Month], A132, Table1[APARTMENT], B132)</f>
        <v>9100</v>
      </c>
      <c r="D132">
        <f>SUMIFS(INCOME!C:C, INCOME!D:D, Table2[[#This Row],[Apt]], INCOME!J:J, Table2[[#This Row],[Month]])</f>
        <v>3</v>
      </c>
      <c r="E132" s="5">
        <f>SUMIFS(EXPENSES!$D:$D, EXPENSES!$C:$C, B132, EXPENSES!$F:$F, A132, EXPENSES!$E:$E, "Direct")</f>
        <v>26707</v>
      </c>
      <c r="F132" s="18">
        <f t="shared" si="17"/>
        <v>0.16221033868092691</v>
      </c>
      <c r="G132" s="5">
        <f>SUMIFS(EXPENSES!D:D, EXPENSES!F:F, Data_Consolidado!A132, EXPENSES!E:E, "Shared")</f>
        <v>21580</v>
      </c>
      <c r="H132" s="5">
        <f>G132*F132</f>
        <v>3500.4991087344029</v>
      </c>
      <c r="I132" s="5">
        <f t="shared" si="12"/>
        <v>30207.499108734402</v>
      </c>
      <c r="J132" s="5">
        <f t="shared" si="15"/>
        <v>-21107.499108734402</v>
      </c>
      <c r="K132" s="18">
        <f t="shared" si="14"/>
        <v>-2.3195053965642201</v>
      </c>
      <c r="L132">
        <f>SUMIFS(Reference_Nights[[#All],[Available_nights]], Reference_Nights[[#All],[Month]], Table2[[#This Row],[Month]], Reference_Nights[[#All],[Apt]], Table2[[#This Row],[Apt]])</f>
        <v>28</v>
      </c>
      <c r="M132" s="18">
        <f>IF(Table2[[#This Row],[Available _Nights]]=0, 0, Table2[[#This Row],[Booked_Nights]]/Table2[[#This Row],[Available _Nights]])</f>
        <v>0.10714285714285714</v>
      </c>
      <c r="N132" s="29">
        <f>IF(Table2[[#This Row],[Booked_Nights]]=0, 0, Table2[[#This Row],[Income]]/Table2[[#This Row],[Booked_Nights]])</f>
        <v>3033.3333333333335</v>
      </c>
      <c r="O132" s="29">
        <f>IF(L132=0,0, Table2[[#This Row],[Income]]/Table2[[#This Row],[Available _Nights]])</f>
        <v>325</v>
      </c>
      <c r="P132" s="30">
        <f>IF(Table2[[#This Row],[Income]]=0,0,Table2[[#This Row],[Total_Exp]]/Table2[[#This Row],[Income]])</f>
        <v>3.3195053965642201</v>
      </c>
    </row>
    <row r="133" spans="1:16" x14ac:dyDescent="0.2">
      <c r="A133" s="13" t="s">
        <v>1135</v>
      </c>
      <c r="B133" t="s">
        <v>296</v>
      </c>
      <c r="C133" s="5">
        <f>SUMIFS(Table1[FULL AMOUNT mxn pesos], Table1[Month], A133, Table1[APARTMENT], B133)</f>
        <v>47000</v>
      </c>
      <c r="D133">
        <f>SUMIFS(INCOME!C:C, INCOME!D:D, Table2[[#This Row],[Apt]], INCOME!J:J, Table2[[#This Row],[Month]])</f>
        <v>11</v>
      </c>
      <c r="E133" s="5">
        <f>SUMIFS(EXPENSES!$D:$D, EXPENSES!$C:$C, B133, EXPENSES!$F:$F, A133, EXPENSES!$E:$E, "Direct")</f>
        <v>15200</v>
      </c>
      <c r="F133" s="18">
        <f t="shared" si="17"/>
        <v>0.83778966131907306</v>
      </c>
      <c r="G133" s="5">
        <f>SUMIFS(EXPENSES!D:D, EXPENSES!F:F, Data_Consolidado!A133, EXPENSES!E:E, "Shared")</f>
        <v>21580</v>
      </c>
      <c r="H133" s="5">
        <f t="shared" si="16"/>
        <v>18079.500891265598</v>
      </c>
      <c r="I133" s="5">
        <f t="shared" si="12"/>
        <v>33279.500891265598</v>
      </c>
      <c r="J133" s="5">
        <f t="shared" si="15"/>
        <v>13720.499108734402</v>
      </c>
      <c r="K133" s="18">
        <f t="shared" si="14"/>
        <v>0.29192551295179581</v>
      </c>
      <c r="L133">
        <f>SUMIFS(Reference_Nights[[#All],[Available_nights]], Reference_Nights[[#All],[Month]], Table2[[#This Row],[Month]], Reference_Nights[[#All],[Apt]], Table2[[#This Row],[Apt]])</f>
        <v>28</v>
      </c>
      <c r="M133" s="18">
        <f>IF(Table2[[#This Row],[Available _Nights]]=0, 0, Table2[[#This Row],[Booked_Nights]]/Table2[[#This Row],[Available _Nights]])</f>
        <v>0.39285714285714285</v>
      </c>
      <c r="N133" s="29">
        <f>IF(Table2[[#This Row],[Booked_Nights]]=0, 0, Table2[[#This Row],[Income]]/Table2[[#This Row],[Booked_Nights]])</f>
        <v>4272.727272727273</v>
      </c>
      <c r="O133" s="29">
        <f>IF(L133=0,0, Table2[[#This Row],[Income]]/Table2[[#This Row],[Available _Nights]])</f>
        <v>1678.5714285714287</v>
      </c>
      <c r="P133" s="30">
        <f>IF(Table2[[#This Row],[Income]]=0,0,Table2[[#This Row],[Total_Exp]]/Table2[[#This Row],[Income]])</f>
        <v>0.70807448704820419</v>
      </c>
    </row>
    <row r="134" spans="1:16" x14ac:dyDescent="0.2">
      <c r="A134" s="13" t="s">
        <v>1136</v>
      </c>
      <c r="B134" t="s">
        <v>295</v>
      </c>
      <c r="C134" s="5">
        <f>SUMIFS(Table1[FULL AMOUNT mxn pesos], Table1[Month], A134, Table1[APARTMENT], B134)</f>
        <v>53519.8</v>
      </c>
      <c r="D134">
        <f>SUMIFS(INCOME!C:C, INCOME!D:D, Table2[[#This Row],[Apt]], INCOME!J:J, Table2[[#This Row],[Month]])</f>
        <v>24</v>
      </c>
      <c r="E134" s="5">
        <f>SUMIFS(EXPENSES!$D:$D, EXPENSES!$C:$C, B134, EXPENSES!$F:$F, A134, EXPENSES!$E:$E, "Direct")</f>
        <v>40258</v>
      </c>
      <c r="F134" s="18">
        <f t="shared" si="17"/>
        <v>0.46035527999889903</v>
      </c>
      <c r="G134" s="5">
        <f>SUMIFS(EXPENSES!D:D, EXPENSES!F:F, Data_Consolidado!A134, EXPENSES!E:E, "Shared")</f>
        <v>9950</v>
      </c>
      <c r="H134" s="5">
        <f t="shared" si="16"/>
        <v>4580.5350359890454</v>
      </c>
      <c r="I134" s="5">
        <f t="shared" si="12"/>
        <v>44838.535035989044</v>
      </c>
      <c r="J134" s="5">
        <f t="shared" si="15"/>
        <v>8681.2649640109594</v>
      </c>
      <c r="K134" s="18">
        <f t="shared" si="14"/>
        <v>0.16220660323863242</v>
      </c>
      <c r="L134">
        <f>SUMIFS(Reference_Nights[[#All],[Available_nights]], Reference_Nights[[#All],[Month]], Table2[[#This Row],[Month]], Reference_Nights[[#All],[Apt]], Table2[[#This Row],[Apt]])</f>
        <v>28</v>
      </c>
      <c r="M134" s="18">
        <f>IF(Table2[[#This Row],[Available _Nights]]=0, 0, Table2[[#This Row],[Booked_Nights]]/Table2[[#This Row],[Available _Nights]])</f>
        <v>0.8571428571428571</v>
      </c>
      <c r="N134" s="29">
        <f>IF(Table2[[#This Row],[Booked_Nights]]=0, 0, Table2[[#This Row],[Income]]/Table2[[#This Row],[Booked_Nights]])</f>
        <v>2229.9916666666668</v>
      </c>
      <c r="O134" s="29">
        <f>IF(L134=0,0, Table2[[#This Row],[Income]]/Table2[[#This Row],[Available _Nights]])</f>
        <v>1911.4214285714286</v>
      </c>
      <c r="P134" s="30">
        <f>IF(Table2[[#This Row],[Income]]=0,0,Table2[[#This Row],[Total_Exp]]/Table2[[#This Row],[Income]])</f>
        <v>0.83779339676136755</v>
      </c>
    </row>
    <row r="135" spans="1:16" x14ac:dyDescent="0.2">
      <c r="A135" s="13" t="s">
        <v>1136</v>
      </c>
      <c r="B135" t="s">
        <v>296</v>
      </c>
      <c r="C135" s="5">
        <f>SUMIFS(Table1[FULL AMOUNT mxn pesos], Table1[Month], A135, Table1[APARTMENT], B135)</f>
        <v>62737.8</v>
      </c>
      <c r="D135">
        <f>SUMIFS(INCOME!C:C, INCOME!D:D, Table2[[#This Row],[Apt]], INCOME!J:J, Table2[[#This Row],[Month]])</f>
        <v>19</v>
      </c>
      <c r="E135" s="5">
        <f>SUMIFS(EXPENSES!$D:$D, EXPENSES!$C:$C, B135, EXPENSES!$F:$F, A135, EXPENSES!$E:$E, "Direct")</f>
        <v>18265</v>
      </c>
      <c r="F135" s="18">
        <f t="shared" si="17"/>
        <v>0.53964472000110097</v>
      </c>
      <c r="G135" s="5">
        <f>SUMIFS(EXPENSES!D:D, EXPENSES!F:F, Data_Consolidado!A135, EXPENSES!E:E, "Shared")</f>
        <v>9950</v>
      </c>
      <c r="H135" s="5">
        <f t="shared" si="16"/>
        <v>5369.4649640109546</v>
      </c>
      <c r="I135" s="5">
        <f t="shared" si="12"/>
        <v>23634.464964010956</v>
      </c>
      <c r="J135" s="5">
        <f t="shared" si="15"/>
        <v>39103.335035989046</v>
      </c>
      <c r="K135" s="18">
        <f t="shared" si="14"/>
        <v>0.62328189761179142</v>
      </c>
      <c r="L135">
        <f>SUMIFS(Reference_Nights[[#All],[Available_nights]], Reference_Nights[[#All],[Month]], Table2[[#This Row],[Month]], Reference_Nights[[#All],[Apt]], Table2[[#This Row],[Apt]])</f>
        <v>28</v>
      </c>
      <c r="M135" s="18">
        <f>IF(Table2[[#This Row],[Available _Nights]]=0, 0, Table2[[#This Row],[Booked_Nights]]/Table2[[#This Row],[Available _Nights]])</f>
        <v>0.6785714285714286</v>
      </c>
      <c r="N135" s="29">
        <f>IF(Table2[[#This Row],[Booked_Nights]]=0, 0, Table2[[#This Row],[Income]]/Table2[[#This Row],[Booked_Nights]])</f>
        <v>3301.9894736842107</v>
      </c>
      <c r="O135" s="29">
        <f>IF(L135=0,0, Table2[[#This Row],[Income]]/Table2[[#This Row],[Available _Nights]])</f>
        <v>2240.6357142857146</v>
      </c>
      <c r="P135" s="30">
        <f>IF(Table2[[#This Row],[Income]]=0,0,Table2[[#This Row],[Total_Exp]]/Table2[[#This Row],[Income]])</f>
        <v>0.37671810238820863</v>
      </c>
    </row>
    <row r="136" spans="1:16" x14ac:dyDescent="0.2">
      <c r="A136" s="13" t="s">
        <v>1137</v>
      </c>
      <c r="B136" t="s">
        <v>295</v>
      </c>
      <c r="C136" s="5">
        <f>SUMIFS(Table1[FULL AMOUNT mxn pesos], Table1[Month], A136, Table1[APARTMENT], B136)</f>
        <v>33216.400000000001</v>
      </c>
      <c r="D136">
        <f>SUMIFS(INCOME!C:C, INCOME!D:D, Table2[[#This Row],[Apt]], INCOME!J:J, Table2[[#This Row],[Month]])</f>
        <v>21</v>
      </c>
      <c r="E136" s="5">
        <f>SUMIFS(EXPENSES!$D:$D, EXPENSES!$C:$C, B136, EXPENSES!$F:$F, A136, EXPENSES!$E:$E, "Direct")</f>
        <v>36757</v>
      </c>
      <c r="F136" s="18">
        <f t="shared" si="17"/>
        <v>1</v>
      </c>
      <c r="G136" s="5">
        <f>SUMIFS(EXPENSES!D:D, EXPENSES!F:F, Data_Consolidado!A136, EXPENSES!E:E, "Shared")</f>
        <v>20080</v>
      </c>
      <c r="H136" s="5">
        <f t="shared" si="16"/>
        <v>20080</v>
      </c>
      <c r="I136" s="5">
        <f t="shared" si="12"/>
        <v>56837</v>
      </c>
      <c r="J136" s="5">
        <f t="shared" si="15"/>
        <v>-23620.6</v>
      </c>
      <c r="K136" s="18">
        <f t="shared" si="14"/>
        <v>-0.71111258294095681</v>
      </c>
      <c r="L136">
        <f>SUMIFS(Reference_Nights[[#All],[Available_nights]], Reference_Nights[[#All],[Month]], Table2[[#This Row],[Month]], Reference_Nights[[#All],[Apt]], Table2[[#This Row],[Apt]])</f>
        <v>25</v>
      </c>
      <c r="M136" s="18">
        <f>IF(Table2[[#This Row],[Available _Nights]]=0, 0, Table2[[#This Row],[Booked_Nights]]/Table2[[#This Row],[Available _Nights]])</f>
        <v>0.84</v>
      </c>
      <c r="N136" s="29">
        <f>IF(Table2[[#This Row],[Booked_Nights]]=0, 0, Table2[[#This Row],[Income]]/Table2[[#This Row],[Booked_Nights]])</f>
        <v>1581.7333333333333</v>
      </c>
      <c r="O136" s="29">
        <f>IF(L136=0,0, Table2[[#This Row],[Income]]/Table2[[#This Row],[Available _Nights]])</f>
        <v>1328.6559999999999</v>
      </c>
      <c r="P136" s="30">
        <f>IF(Table2[[#This Row],[Income]]=0,0,Table2[[#This Row],[Total_Exp]]/Table2[[#This Row],[Income]])</f>
        <v>1.7111125829409568</v>
      </c>
    </row>
    <row r="137" spans="1:16" x14ac:dyDescent="0.2">
      <c r="A137" s="13" t="s">
        <v>1137</v>
      </c>
      <c r="B137" t="s">
        <v>296</v>
      </c>
      <c r="C137" s="5">
        <f>SUMIFS(Table1[FULL AMOUNT mxn pesos], Table1[Month], A137, Table1[APARTMENT], B137)</f>
        <v>0</v>
      </c>
      <c r="D137">
        <f>SUMIFS(INCOME!C:C, INCOME!D:D, Table2[[#This Row],[Apt]], INCOME!J:J, Table2[[#This Row],[Month]])</f>
        <v>0</v>
      </c>
      <c r="E137" s="5">
        <f>SUMIFS(EXPENSES!$D:$D, EXPENSES!$C:$C, B137, EXPENSES!$F:$F, A137, EXPENSES!$E:$E, "Direct")</f>
        <v>14000</v>
      </c>
      <c r="F137" s="18">
        <f t="shared" si="17"/>
        <v>0</v>
      </c>
      <c r="G137" s="5">
        <f>SUMIFS(EXPENSES!D:D, EXPENSES!F:F, Data_Consolidado!A137, EXPENSES!E:E, "Shared")</f>
        <v>20080</v>
      </c>
      <c r="H137" s="5">
        <f t="shared" si="16"/>
        <v>0</v>
      </c>
      <c r="I137" s="5">
        <f t="shared" si="12"/>
        <v>14000</v>
      </c>
      <c r="J137" s="5">
        <f t="shared" si="15"/>
        <v>-14000</v>
      </c>
      <c r="K137" s="18" t="str">
        <f t="shared" si="14"/>
        <v>-</v>
      </c>
      <c r="L137">
        <f>SUMIFS(Reference_Nights[[#All],[Available_nights]], Reference_Nights[[#All],[Month]], Table2[[#This Row],[Month]], Reference_Nights[[#All],[Apt]], Table2[[#This Row],[Apt]])</f>
        <v>25</v>
      </c>
      <c r="M137" s="18">
        <f>IF(Table2[[#This Row],[Available _Nights]]=0, 0, Table2[[#This Row],[Booked_Nights]]/Table2[[#This Row],[Available _Nights]])</f>
        <v>0</v>
      </c>
      <c r="N137" s="29">
        <f>IF(Table2[[#This Row],[Booked_Nights]]=0, 0, Table2[[#This Row],[Income]]/Table2[[#This Row],[Booked_Nights]])</f>
        <v>0</v>
      </c>
      <c r="O137" s="29">
        <f>IF(L137=0,0, Table2[[#This Row],[Income]]/Table2[[#This Row],[Available _Nights]])</f>
        <v>0</v>
      </c>
      <c r="P137" s="30">
        <f>IF(Table2[[#This Row],[Income]]=0,0,Table2[[#This Row],[Total_Exp]]/Table2[[#This Row],[Income]])</f>
        <v>0</v>
      </c>
    </row>
    <row r="138" spans="1:16" x14ac:dyDescent="0.2">
      <c r="A138" s="13" t="s">
        <v>1138</v>
      </c>
      <c r="B138" t="s">
        <v>295</v>
      </c>
      <c r="C138" s="5">
        <f>SUMIFS(Table1[FULL AMOUNT mxn pesos], Table1[Month], A138, Table1[APARTMENT], B138)</f>
        <v>19460</v>
      </c>
      <c r="D138">
        <f>SUMIFS(INCOME!C:C, INCOME!D:D, Table2[[#This Row],[Apt]], INCOME!J:J, Table2[[#This Row],[Month]])</f>
        <v>12</v>
      </c>
      <c r="E138" s="5">
        <f>SUMIFS(EXPENSES!$D:$D, EXPENSES!$C:$C, B138, EXPENSES!$F:$F, A138, EXPENSES!$E:$E, "Direct")</f>
        <v>43442</v>
      </c>
      <c r="F138" s="18">
        <f t="shared" si="17"/>
        <v>1</v>
      </c>
      <c r="G138" s="5">
        <f>SUMIFS(EXPENSES!D:D, EXPENSES!F:F, Data_Consolidado!A138, EXPENSES!E:E, "Shared")</f>
        <v>5970</v>
      </c>
      <c r="H138" s="5">
        <f t="shared" si="16"/>
        <v>5970</v>
      </c>
      <c r="I138" s="5">
        <f t="shared" si="12"/>
        <v>49412</v>
      </c>
      <c r="J138" s="5">
        <f t="shared" si="15"/>
        <v>-29952</v>
      </c>
      <c r="K138" s="18">
        <f t="shared" si="14"/>
        <v>-1.5391572456320657</v>
      </c>
      <c r="L138">
        <f>SUMIFS(Reference_Nights[[#All],[Available_nights]], Reference_Nights[[#All],[Month]], Table2[[#This Row],[Month]], Reference_Nights[[#All],[Apt]], Table2[[#This Row],[Apt]])</f>
        <v>28</v>
      </c>
      <c r="M138" s="18">
        <f>IF(Table2[[#This Row],[Available _Nights]]=0, 0, Table2[[#This Row],[Booked_Nights]]/Table2[[#This Row],[Available _Nights]])</f>
        <v>0.42857142857142855</v>
      </c>
      <c r="N138" s="29">
        <f>IF(Table2[[#This Row],[Booked_Nights]]=0, 0, Table2[[#This Row],[Income]]/Table2[[#This Row],[Booked_Nights]])</f>
        <v>1621.6666666666667</v>
      </c>
      <c r="O138" s="29">
        <f>IF(L138=0,0, Table2[[#This Row],[Income]]/Table2[[#This Row],[Available _Nights]])</f>
        <v>695</v>
      </c>
      <c r="P138" s="30">
        <f>IF(Table2[[#This Row],[Income]]=0,0,Table2[[#This Row],[Total_Exp]]/Table2[[#This Row],[Income]])</f>
        <v>2.5391572456320657</v>
      </c>
    </row>
    <row r="139" spans="1:16" x14ac:dyDescent="0.2">
      <c r="A139" s="13" t="s">
        <v>1138</v>
      </c>
      <c r="B139" t="s">
        <v>296</v>
      </c>
      <c r="C139" s="5">
        <f>SUMIFS(Table1[FULL AMOUNT mxn pesos], Table1[Month], A139, Table1[APARTMENT], B139)</f>
        <v>0</v>
      </c>
      <c r="D139">
        <f>SUMIFS(INCOME!C:C, INCOME!D:D, Table2[[#This Row],[Apt]], INCOME!J:J, Table2[[#This Row],[Month]])</f>
        <v>0</v>
      </c>
      <c r="E139" s="5">
        <f>SUMIFS(EXPENSES!$D:$D, EXPENSES!$C:$C, B139, EXPENSES!$F:$F, A139, EXPENSES!$E:$E, "Direct")</f>
        <v>11000</v>
      </c>
      <c r="F139" s="18">
        <f t="shared" si="17"/>
        <v>0</v>
      </c>
      <c r="G139" s="5">
        <f>SUMIFS(EXPENSES!D:D, EXPENSES!F:F, Data_Consolidado!A139, EXPENSES!E:E, "Shared")</f>
        <v>5970</v>
      </c>
      <c r="H139" s="5">
        <f t="shared" si="16"/>
        <v>0</v>
      </c>
      <c r="I139" s="5">
        <f t="shared" si="12"/>
        <v>11000</v>
      </c>
      <c r="J139" s="5">
        <f t="shared" si="15"/>
        <v>-11000</v>
      </c>
      <c r="K139" s="18" t="str">
        <f t="shared" si="14"/>
        <v>-</v>
      </c>
      <c r="L139">
        <f>SUMIFS(Reference_Nights[[#All],[Available_nights]], Reference_Nights[[#All],[Month]], Table2[[#This Row],[Month]], Reference_Nights[[#All],[Apt]], Table2[[#This Row],[Apt]])</f>
        <v>28</v>
      </c>
      <c r="M139" s="18">
        <f>IF(Table2[[#This Row],[Available _Nights]]=0, 0, Table2[[#This Row],[Booked_Nights]]/Table2[[#This Row],[Available _Nights]])</f>
        <v>0</v>
      </c>
      <c r="N139" s="29">
        <f>IF(Table2[[#This Row],[Booked_Nights]]=0, 0, Table2[[#This Row],[Income]]/Table2[[#This Row],[Booked_Nights]])</f>
        <v>0</v>
      </c>
      <c r="O139" s="29">
        <f>IF(L139=0,0, Table2[[#This Row],[Income]]/Table2[[#This Row],[Available _Nights]])</f>
        <v>0</v>
      </c>
      <c r="P139" s="30">
        <f>IF(Table2[[#This Row],[Income]]=0,0,Table2[[#This Row],[Total_Exp]]/Table2[[#This Row],[Income]])</f>
        <v>0</v>
      </c>
    </row>
    <row r="140" spans="1:16" x14ac:dyDescent="0.2">
      <c r="A140" s="13" t="s">
        <v>1139</v>
      </c>
      <c r="B140" t="s">
        <v>295</v>
      </c>
      <c r="C140" s="5">
        <f>SUMIFS(Table1[FULL AMOUNT mxn pesos], Table1[Month], A140, Table1[APARTMENT], B140)</f>
        <v>44380</v>
      </c>
      <c r="D140">
        <f>SUMIFS(INCOME!C:C, INCOME!D:D, Table2[[#This Row],[Apt]], INCOME!J:J, Table2[[#This Row],[Month]])</f>
        <v>19</v>
      </c>
      <c r="E140" s="5">
        <f>SUMIFS(EXPENSES!$D:$D, EXPENSES!$C:$C, B140, EXPENSES!$F:$F, A140, EXPENSES!$E:$E, "Direct")</f>
        <v>37542</v>
      </c>
      <c r="F140" s="18">
        <f t="shared" si="17"/>
        <v>1</v>
      </c>
      <c r="G140" s="5">
        <f>SUMIFS(EXPENSES!D:D, EXPENSES!F:F, Data_Consolidado!A140, EXPENSES!E:E, "Shared")</f>
        <v>3090</v>
      </c>
      <c r="H140" s="5">
        <f t="shared" si="16"/>
        <v>3090</v>
      </c>
      <c r="I140" s="5">
        <f t="shared" si="12"/>
        <v>40632</v>
      </c>
      <c r="J140" s="5">
        <f t="shared" si="15"/>
        <v>3748</v>
      </c>
      <c r="K140" s="18">
        <f t="shared" si="14"/>
        <v>8.4452456061288872E-2</v>
      </c>
      <c r="L140">
        <f>SUMIFS(Reference_Nights[[#All],[Available_nights]], Reference_Nights[[#All],[Month]], Table2[[#This Row],[Month]], Reference_Nights[[#All],[Apt]], Table2[[#This Row],[Apt]])</f>
        <v>27</v>
      </c>
      <c r="M140" s="18">
        <f>IF(Table2[[#This Row],[Available _Nights]]=0, 0, Table2[[#This Row],[Booked_Nights]]/Table2[[#This Row],[Available _Nights]])</f>
        <v>0.70370370370370372</v>
      </c>
      <c r="N140" s="29">
        <f>IF(Table2[[#This Row],[Booked_Nights]]=0, 0, Table2[[#This Row],[Income]]/Table2[[#This Row],[Booked_Nights]])</f>
        <v>2335.7894736842104</v>
      </c>
      <c r="O140" s="29">
        <f>IF(L140=0,0, Table2[[#This Row],[Income]]/Table2[[#This Row],[Available _Nights]])</f>
        <v>1643.7037037037037</v>
      </c>
      <c r="P140" s="30">
        <f>IF(Table2[[#This Row],[Income]]=0,0,Table2[[#This Row],[Total_Exp]]/Table2[[#This Row],[Income]])</f>
        <v>0.91554754393871118</v>
      </c>
    </row>
    <row r="141" spans="1:16" x14ac:dyDescent="0.2">
      <c r="A141" s="13" t="s">
        <v>1139</v>
      </c>
      <c r="B141" t="s">
        <v>296</v>
      </c>
      <c r="C141" s="5">
        <f>SUMIFS(Table1[FULL AMOUNT mxn pesos], Table1[Month], A141, Table1[APARTMENT], B141)</f>
        <v>0</v>
      </c>
      <c r="D141">
        <f>SUMIFS(INCOME!C:C, INCOME!D:D, Table2[[#This Row],[Apt]], INCOME!J:J, Table2[[#This Row],[Month]])</f>
        <v>0</v>
      </c>
      <c r="E141" s="5">
        <f>SUMIFS(EXPENSES!$D:$D, EXPENSES!$C:$C, B141, EXPENSES!$F:$F, A141, EXPENSES!$E:$E, "Direct")</f>
        <v>11600</v>
      </c>
      <c r="F141" s="18">
        <f t="shared" si="17"/>
        <v>0</v>
      </c>
      <c r="G141" s="5">
        <f>SUMIFS(EXPENSES!D:D, EXPENSES!F:F, Data_Consolidado!A141, EXPENSES!E:E, "Shared")</f>
        <v>3090</v>
      </c>
      <c r="H141" s="5">
        <f t="shared" si="16"/>
        <v>0</v>
      </c>
      <c r="I141" s="5">
        <f t="shared" si="12"/>
        <v>11600</v>
      </c>
      <c r="J141" s="5">
        <f t="shared" si="15"/>
        <v>-11600</v>
      </c>
      <c r="K141" s="18" t="str">
        <f t="shared" si="14"/>
        <v>-</v>
      </c>
      <c r="L141">
        <f>SUMIFS(Reference_Nights[[#All],[Available_nights]], Reference_Nights[[#All],[Month]], Table2[[#This Row],[Month]], Reference_Nights[[#All],[Apt]], Table2[[#This Row],[Apt]])</f>
        <v>27</v>
      </c>
      <c r="M141" s="18">
        <f>IF(Table2[[#This Row],[Available _Nights]]=0, 0, Table2[[#This Row],[Booked_Nights]]/Table2[[#This Row],[Available _Nights]])</f>
        <v>0</v>
      </c>
      <c r="N141" s="29">
        <f>IF(Table2[[#This Row],[Booked_Nights]]=0, 0, Table2[[#This Row],[Income]]/Table2[[#This Row],[Booked_Nights]])</f>
        <v>0</v>
      </c>
      <c r="O141" s="29">
        <f>IF(L141=0,0, Table2[[#This Row],[Income]]/Table2[[#This Row],[Available _Nights]])</f>
        <v>0</v>
      </c>
      <c r="P141" s="30">
        <f>IF(Table2[[#This Row],[Income]]=0,0,Table2[[#This Row],[Total_Exp]]/Table2[[#This Row],[Income]])</f>
        <v>0</v>
      </c>
    </row>
    <row r="142" spans="1:16" x14ac:dyDescent="0.2">
      <c r="A142" s="13" t="s">
        <v>1140</v>
      </c>
      <c r="B142" t="s">
        <v>295</v>
      </c>
      <c r="C142" s="5">
        <f>SUMIFS(Table1[FULL AMOUNT mxn pesos], Table1[Month], A142, Table1[APARTMENT], B142)</f>
        <v>3800</v>
      </c>
      <c r="D142">
        <f>SUMIFS(INCOME!C:C, INCOME!D:D, Table2[[#This Row],[Apt]], INCOME!J:J, Table2[[#This Row],[Month]])</f>
        <v>2</v>
      </c>
      <c r="E142" s="5">
        <f>SUMIFS(EXPENSES!$D:$D, EXPENSES!$C:$C, B142, EXPENSES!$F:$F, A142, EXPENSES!$E:$E, "Direct")</f>
        <v>32502</v>
      </c>
      <c r="F142" s="18">
        <f t="shared" si="17"/>
        <v>1</v>
      </c>
      <c r="G142" s="5">
        <f>SUMIFS(EXPENSES!D:D, EXPENSES!F:F, Data_Consolidado!A142, EXPENSES!E:E, "Shared")</f>
        <v>0</v>
      </c>
      <c r="H142" s="5">
        <f t="shared" si="16"/>
        <v>0</v>
      </c>
      <c r="I142" s="5">
        <f t="shared" si="12"/>
        <v>32502</v>
      </c>
      <c r="J142" s="5">
        <f>C142-I142</f>
        <v>-28702</v>
      </c>
      <c r="K142" s="18">
        <f t="shared" si="14"/>
        <v>-7.5531578947368425</v>
      </c>
      <c r="L142">
        <f>SUMIFS(Reference_Nights[[#All],[Available_nights]], Reference_Nights[[#All],[Month]], Table2[[#This Row],[Month]], Reference_Nights[[#All],[Apt]], Table2[[#This Row],[Apt]])</f>
        <v>28</v>
      </c>
      <c r="M142" s="18">
        <f>IF(Table2[[#This Row],[Available _Nights]]=0, 0, Table2[[#This Row],[Booked_Nights]]/Table2[[#This Row],[Available _Nights]])</f>
        <v>7.1428571428571425E-2</v>
      </c>
      <c r="N142" s="29">
        <f>IF(Table2[[#This Row],[Booked_Nights]]=0, 0, Table2[[#This Row],[Income]]/Table2[[#This Row],[Booked_Nights]])</f>
        <v>1900</v>
      </c>
      <c r="O142" s="29">
        <f>IF(L142=0,0, Table2[[#This Row],[Income]]/Table2[[#This Row],[Available _Nights]])</f>
        <v>135.71428571428572</v>
      </c>
      <c r="P142" s="30">
        <f>IF(Table2[[#This Row],[Income]]=0,0,Table2[[#This Row],[Total_Exp]]/Table2[[#This Row],[Income]])</f>
        <v>8.5531578947368416</v>
      </c>
    </row>
    <row r="143" spans="1:16" x14ac:dyDescent="0.2">
      <c r="A143" s="13" t="s">
        <v>1140</v>
      </c>
      <c r="B143" t="s">
        <v>296</v>
      </c>
      <c r="C143" s="5">
        <f>SUMIFS(Table1[FULL AMOUNT mxn pesos], Table1[Month], A143, Table1[APARTMENT], B143)</f>
        <v>0</v>
      </c>
      <c r="D143">
        <f>SUMIFS(INCOME!C:C, INCOME!D:D, Table2[[#This Row],[Apt]], INCOME!J:J, Table2[[#This Row],[Month]])</f>
        <v>0</v>
      </c>
      <c r="E143" s="5">
        <f>SUMIFS(EXPENSES!$D:$D, EXPENSES!$C:$C, B143, EXPENSES!$F:$F, A143, EXPENSES!$E:$E, "Direct")</f>
        <v>13200</v>
      </c>
      <c r="F143" s="18">
        <f t="shared" si="17"/>
        <v>0</v>
      </c>
      <c r="G143" s="5">
        <f>SUMIFS(EXPENSES!D:D, EXPENSES!F:F, Data_Consolidado!A143, EXPENSES!E:E, "Shared")</f>
        <v>0</v>
      </c>
      <c r="H143" s="5">
        <f t="shared" si="16"/>
        <v>0</v>
      </c>
      <c r="I143" s="5">
        <f t="shared" si="12"/>
        <v>13200</v>
      </c>
      <c r="J143" s="5">
        <f t="shared" si="15"/>
        <v>-13200</v>
      </c>
      <c r="K143" s="18" t="str">
        <f t="shared" si="14"/>
        <v>-</v>
      </c>
      <c r="L143">
        <f>SUMIFS(Reference_Nights[[#All],[Available_nights]], Reference_Nights[[#All],[Month]], Table2[[#This Row],[Month]], Reference_Nights[[#All],[Apt]], Table2[[#This Row],[Apt]])</f>
        <v>28</v>
      </c>
      <c r="M143" s="18">
        <f>IF(Table2[[#This Row],[Available _Nights]]=0, 0, Table2[[#This Row],[Booked_Nights]]/Table2[[#This Row],[Available _Nights]])</f>
        <v>0</v>
      </c>
      <c r="N143" s="29">
        <f>IF(Table2[[#This Row],[Booked_Nights]]=0, 0, Table2[[#This Row],[Income]]/Table2[[#This Row],[Booked_Nights]])</f>
        <v>0</v>
      </c>
      <c r="O143" s="29">
        <f>IF(L143=0,0, Table2[[#This Row],[Income]]/Table2[[#This Row],[Available _Nights]])</f>
        <v>0</v>
      </c>
      <c r="P143" s="30">
        <f>IF(Table2[[#This Row],[Income]]=0,0,Table2[[#This Row],[Total_Exp]]/Table2[[#This Row],[Income]])</f>
        <v>0</v>
      </c>
    </row>
  </sheetData>
  <phoneticPr fontId="6" type="noConversion"/>
  <conditionalFormatting sqref="K2:K143">
    <cfRule type="cellIs" dxfId="3" priority="1" operator="greaterThan">
      <formula>0</formula>
    </cfRule>
    <cfRule type="cellIs" dxfId="2" priority="2" operator="lessThanOrEqual">
      <formula>0</formula>
    </cfRule>
  </conditionalFormatting>
  <pageMargins left="0.7" right="0.7" top="0.75" bottom="0.75" header="0.3" footer="0.3"/>
  <pageSetup orientation="portrait" horizontalDpi="0" verticalDpi="0"/>
  <ignoredErrors>
    <ignoredError sqref="E18:E143 H126:H127 H21:H23 E6:E13 E15:E16" calculatedColumn="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FA582-9D15-2A4C-B83E-CA6AE8F5B1F4}">
  <dimension ref="B4:N193"/>
  <sheetViews>
    <sheetView topLeftCell="A134" workbookViewId="0">
      <selection activeCell="D153" sqref="D153"/>
    </sheetView>
  </sheetViews>
  <sheetFormatPr baseColWidth="10" defaultRowHeight="16" x14ac:dyDescent="0.2"/>
  <cols>
    <col min="2" max="2" width="19.6640625" customWidth="1"/>
    <col min="3" max="3" width="19.33203125" customWidth="1"/>
    <col min="4" max="4" width="19" customWidth="1"/>
    <col min="5" max="5" width="17.6640625" customWidth="1"/>
    <col min="6" max="6" width="19" customWidth="1"/>
    <col min="7" max="7" width="19.33203125" customWidth="1"/>
    <col min="8" max="8" width="11.1640625" customWidth="1"/>
    <col min="9" max="9" width="12.6640625" bestFit="1" customWidth="1"/>
    <col min="10" max="10" width="14.6640625" bestFit="1" customWidth="1"/>
    <col min="11" max="11" width="9.1640625" bestFit="1" customWidth="1"/>
    <col min="12" max="14" width="10.1640625" bestFit="1" customWidth="1"/>
    <col min="15" max="15" width="9.1640625" bestFit="1" customWidth="1"/>
    <col min="16" max="16" width="10.1640625" bestFit="1" customWidth="1"/>
    <col min="17" max="17" width="9.1640625" bestFit="1" customWidth="1"/>
    <col min="18" max="21" width="10.1640625" bestFit="1" customWidth="1"/>
    <col min="22" max="24" width="9.1640625" bestFit="1" customWidth="1"/>
    <col min="25" max="25" width="10.1640625" bestFit="1" customWidth="1"/>
    <col min="26" max="26" width="9.1640625" bestFit="1" customWidth="1"/>
    <col min="27" max="32" width="10.1640625" bestFit="1" customWidth="1"/>
    <col min="33" max="33" width="9.1640625" bestFit="1" customWidth="1"/>
    <col min="34" max="34" width="10.1640625" bestFit="1" customWidth="1"/>
    <col min="35" max="39" width="9.1640625" bestFit="1" customWidth="1"/>
    <col min="40" max="43" width="10.1640625" bestFit="1" customWidth="1"/>
    <col min="44" max="49" width="9.1640625" bestFit="1" customWidth="1"/>
    <col min="50" max="50" width="10.1640625" bestFit="1" customWidth="1"/>
    <col min="51" max="51" width="9.1640625" bestFit="1" customWidth="1"/>
    <col min="52" max="55" width="10.1640625" bestFit="1" customWidth="1"/>
    <col min="56" max="56" width="9.1640625" bestFit="1" customWidth="1"/>
    <col min="57" max="60" width="10.1640625" bestFit="1" customWidth="1"/>
    <col min="61" max="62" width="9.1640625" bestFit="1" customWidth="1"/>
    <col min="63" max="75" width="10.1640625" bestFit="1" customWidth="1"/>
    <col min="76" max="76" width="9.1640625" bestFit="1" customWidth="1"/>
    <col min="77" max="82" width="10.1640625" bestFit="1" customWidth="1"/>
    <col min="83" max="83" width="9.1640625" bestFit="1" customWidth="1"/>
    <col min="84" max="85" width="10.1640625" bestFit="1" customWidth="1"/>
    <col min="86" max="86" width="9.1640625" bestFit="1" customWidth="1"/>
    <col min="87" max="87" width="11.1640625" bestFit="1" customWidth="1"/>
    <col min="88" max="89" width="9.1640625" bestFit="1" customWidth="1"/>
    <col min="90" max="90" width="10.1640625" bestFit="1" customWidth="1"/>
    <col min="91" max="91" width="9.1640625" bestFit="1" customWidth="1"/>
    <col min="92" max="92" width="11.1640625" bestFit="1" customWidth="1"/>
    <col min="93" max="93" width="9.1640625" bestFit="1" customWidth="1"/>
    <col min="94" max="94" width="11.1640625" bestFit="1" customWidth="1"/>
    <col min="95" max="96" width="10.1640625" bestFit="1" customWidth="1"/>
    <col min="97" max="97" width="9.1640625" bestFit="1" customWidth="1"/>
    <col min="98" max="98" width="10.1640625" bestFit="1" customWidth="1"/>
    <col min="99" max="99" width="9.1640625" bestFit="1" customWidth="1"/>
    <col min="100" max="100" width="10.1640625" bestFit="1" customWidth="1"/>
    <col min="101" max="102" width="9.1640625" bestFit="1" customWidth="1"/>
    <col min="103" max="103" width="10.1640625" bestFit="1" customWidth="1"/>
    <col min="104" max="106" width="11.1640625" bestFit="1" customWidth="1"/>
    <col min="107" max="107" width="9.1640625" bestFit="1" customWidth="1"/>
    <col min="108" max="111" width="10.1640625" bestFit="1" customWidth="1"/>
    <col min="112" max="112" width="9.1640625" bestFit="1" customWidth="1"/>
    <col min="113" max="117" width="10.1640625" bestFit="1" customWidth="1"/>
    <col min="118" max="118" width="9.1640625" bestFit="1" customWidth="1"/>
    <col min="119" max="119" width="11.1640625" bestFit="1" customWidth="1"/>
    <col min="120" max="120" width="9.1640625" bestFit="1" customWidth="1"/>
    <col min="121" max="121" width="11.1640625" bestFit="1" customWidth="1"/>
    <col min="122" max="125" width="10.1640625" bestFit="1" customWidth="1"/>
    <col min="126" max="126" width="9.1640625" bestFit="1" customWidth="1"/>
    <col min="127" max="128" width="10.1640625" bestFit="1" customWidth="1"/>
    <col min="129" max="130" width="9.1640625" bestFit="1" customWidth="1"/>
    <col min="131" max="137" width="10.1640625" bestFit="1" customWidth="1"/>
    <col min="138" max="138" width="9.1640625" bestFit="1" customWidth="1"/>
    <col min="139" max="139" width="10.1640625" bestFit="1" customWidth="1"/>
    <col min="140" max="140" width="9.1640625" bestFit="1" customWidth="1"/>
    <col min="141" max="141" width="10.1640625" bestFit="1" customWidth="1"/>
    <col min="142" max="142" width="9.1640625" bestFit="1" customWidth="1"/>
    <col min="143" max="143" width="10.1640625" bestFit="1" customWidth="1"/>
    <col min="144" max="144" width="9.1640625" bestFit="1" customWidth="1"/>
    <col min="145" max="151" width="10.1640625" bestFit="1" customWidth="1"/>
    <col min="152" max="153" width="9.1640625" bestFit="1" customWidth="1"/>
    <col min="154" max="168" width="10.1640625" bestFit="1" customWidth="1"/>
    <col min="169" max="169" width="9.1640625" bestFit="1" customWidth="1"/>
    <col min="170" max="172" width="10.1640625" bestFit="1" customWidth="1"/>
    <col min="173" max="173" width="9.1640625" bestFit="1" customWidth="1"/>
    <col min="174" max="174" width="10.1640625" bestFit="1" customWidth="1"/>
    <col min="175" max="176" width="9.1640625" bestFit="1" customWidth="1"/>
    <col min="177" max="177" width="10.1640625" bestFit="1" customWidth="1"/>
    <col min="178" max="178" width="9.1640625" bestFit="1" customWidth="1"/>
    <col min="179" max="179" width="10.1640625" bestFit="1" customWidth="1"/>
    <col min="180" max="180" width="9.1640625" bestFit="1" customWidth="1"/>
    <col min="181" max="181" width="10.1640625" bestFit="1" customWidth="1"/>
    <col min="182" max="182" width="9.1640625" bestFit="1" customWidth="1"/>
    <col min="183" max="185" width="10.1640625" bestFit="1" customWidth="1"/>
    <col min="186" max="186" width="9.1640625" bestFit="1" customWidth="1"/>
    <col min="187" max="187" width="10.1640625" bestFit="1" customWidth="1"/>
    <col min="188" max="190" width="9.1640625" bestFit="1" customWidth="1"/>
    <col min="191" max="193" width="10.1640625" bestFit="1" customWidth="1"/>
    <col min="194" max="194" width="9.1640625" bestFit="1" customWidth="1"/>
    <col min="195" max="200" width="10.1640625" bestFit="1" customWidth="1"/>
    <col min="201" max="209" width="9.1640625" bestFit="1" customWidth="1"/>
    <col min="210" max="210" width="10.1640625" bestFit="1" customWidth="1"/>
    <col min="211" max="215" width="9.1640625" bestFit="1" customWidth="1"/>
    <col min="216" max="216" width="7" bestFit="1" customWidth="1"/>
    <col min="217" max="217" width="12.6640625" bestFit="1" customWidth="1"/>
  </cols>
  <sheetData>
    <row r="4" spans="2:2" x14ac:dyDescent="0.2">
      <c r="B4" s="16" t="s">
        <v>1165</v>
      </c>
    </row>
    <row r="6" spans="2:2" x14ac:dyDescent="0.2">
      <c r="B6" t="s">
        <v>1144</v>
      </c>
    </row>
    <row r="8" spans="2:2" x14ac:dyDescent="0.2">
      <c r="B8" t="s">
        <v>1144</v>
      </c>
    </row>
    <row r="9" spans="2:2" x14ac:dyDescent="0.2">
      <c r="B9" s="5">
        <v>169615.83245538865</v>
      </c>
    </row>
    <row r="27" spans="2:7" x14ac:dyDescent="0.2">
      <c r="G27" s="16"/>
    </row>
    <row r="28" spans="2:7" x14ac:dyDescent="0.2">
      <c r="B28" t="s">
        <v>1147</v>
      </c>
    </row>
    <row r="30" spans="2:7" x14ac:dyDescent="0.2">
      <c r="B30" t="s">
        <v>1173</v>
      </c>
    </row>
    <row r="31" spans="2:7" x14ac:dyDescent="0.2">
      <c r="B31" s="18">
        <v>0.1444870247731132</v>
      </c>
    </row>
    <row r="50" spans="2:2" x14ac:dyDescent="0.2">
      <c r="B50" t="s">
        <v>1155</v>
      </c>
    </row>
    <row r="52" spans="2:2" x14ac:dyDescent="0.2">
      <c r="B52" t="s">
        <v>1155</v>
      </c>
    </row>
    <row r="53" spans="2:2" x14ac:dyDescent="0.2">
      <c r="B53" s="18">
        <v>0.3770960904923169</v>
      </c>
    </row>
    <row r="70" spans="2:2" x14ac:dyDescent="0.2">
      <c r="B70" t="s">
        <v>1164</v>
      </c>
    </row>
    <row r="72" spans="2:2" x14ac:dyDescent="0.2">
      <c r="B72" t="s">
        <v>1164</v>
      </c>
    </row>
    <row r="73" spans="2:2" x14ac:dyDescent="0.2">
      <c r="B73" s="5">
        <v>2743.1384731814528</v>
      </c>
    </row>
    <row r="90" spans="2:3" x14ac:dyDescent="0.2">
      <c r="B90" s="16" t="s">
        <v>1166</v>
      </c>
    </row>
    <row r="92" spans="2:3" x14ac:dyDescent="0.2">
      <c r="B92" t="s">
        <v>1167</v>
      </c>
    </row>
    <row r="94" spans="2:3" x14ac:dyDescent="0.2">
      <c r="B94" s="11" t="s">
        <v>993</v>
      </c>
      <c r="C94" t="s">
        <v>1144</v>
      </c>
    </row>
    <row r="95" spans="2:3" x14ac:dyDescent="0.2">
      <c r="B95" s="12" t="s">
        <v>988</v>
      </c>
      <c r="C95" s="5">
        <v>115284.94863905325</v>
      </c>
    </row>
    <row r="96" spans="2:3" x14ac:dyDescent="0.2">
      <c r="B96" s="12" t="s">
        <v>989</v>
      </c>
      <c r="C96" s="5">
        <v>130131.32898061858</v>
      </c>
    </row>
    <row r="97" spans="2:3" x14ac:dyDescent="0.2">
      <c r="B97" s="12" t="s">
        <v>990</v>
      </c>
      <c r="C97" s="5">
        <v>-13784.469898099705</v>
      </c>
    </row>
    <row r="98" spans="2:3" x14ac:dyDescent="0.2">
      <c r="B98" s="12" t="s">
        <v>991</v>
      </c>
      <c r="C98" s="5">
        <v>-51319.310302172598</v>
      </c>
    </row>
    <row r="99" spans="2:3" x14ac:dyDescent="0.2">
      <c r="B99" s="12" t="s">
        <v>992</v>
      </c>
      <c r="C99" s="5">
        <v>-10696.664964010954</v>
      </c>
    </row>
    <row r="116" spans="2:3" x14ac:dyDescent="0.2">
      <c r="B116" t="s">
        <v>1168</v>
      </c>
    </row>
    <row r="118" spans="2:3" x14ac:dyDescent="0.2">
      <c r="B118" s="11" t="s">
        <v>993</v>
      </c>
      <c r="C118" t="s">
        <v>1170</v>
      </c>
    </row>
    <row r="119" spans="2:3" x14ac:dyDescent="0.2">
      <c r="B119" s="12" t="s">
        <v>988</v>
      </c>
      <c r="C119" s="18">
        <v>0.41236772486772488</v>
      </c>
    </row>
    <row r="120" spans="2:3" x14ac:dyDescent="0.2">
      <c r="B120" s="12" t="s">
        <v>989</v>
      </c>
      <c r="C120" s="18">
        <v>0.26178130511463843</v>
      </c>
    </row>
    <row r="121" spans="2:3" x14ac:dyDescent="0.2">
      <c r="B121" s="12" t="s">
        <v>990</v>
      </c>
      <c r="C121" s="18">
        <v>0.74392043142043141</v>
      </c>
    </row>
    <row r="122" spans="2:3" x14ac:dyDescent="0.2">
      <c r="B122" s="12" t="s">
        <v>991</v>
      </c>
      <c r="C122" s="18">
        <v>0.19089065255731918</v>
      </c>
    </row>
    <row r="123" spans="2:3" x14ac:dyDescent="0.2">
      <c r="B123" s="12" t="s">
        <v>992</v>
      </c>
      <c r="C123" s="18">
        <v>0.13571428571428573</v>
      </c>
    </row>
    <row r="133" spans="2:10" x14ac:dyDescent="0.2">
      <c r="B133" t="s">
        <v>1169</v>
      </c>
    </row>
    <row r="135" spans="2:10" x14ac:dyDescent="0.2">
      <c r="B135" s="28" t="s">
        <v>1176</v>
      </c>
    </row>
    <row r="137" spans="2:10" x14ac:dyDescent="0.2">
      <c r="B137" s="11" t="s">
        <v>1084</v>
      </c>
      <c r="C137" s="11" t="s">
        <v>1145</v>
      </c>
    </row>
    <row r="138" spans="2:10" x14ac:dyDescent="0.2">
      <c r="B138" s="11" t="s">
        <v>993</v>
      </c>
      <c r="C138" t="s">
        <v>785</v>
      </c>
      <c r="D138" t="s">
        <v>787</v>
      </c>
      <c r="E138" t="s">
        <v>974</v>
      </c>
      <c r="F138" t="s">
        <v>810</v>
      </c>
      <c r="G138" t="s">
        <v>885</v>
      </c>
      <c r="H138" t="s">
        <v>840</v>
      </c>
      <c r="I138" t="s">
        <v>918</v>
      </c>
      <c r="J138" t="s">
        <v>905</v>
      </c>
    </row>
    <row r="139" spans="2:10" x14ac:dyDescent="0.2">
      <c r="B139" s="12" t="s">
        <v>988</v>
      </c>
      <c r="C139" s="5">
        <v>649674.79999999993</v>
      </c>
      <c r="D139" s="5">
        <v>8960</v>
      </c>
      <c r="E139" s="5">
        <v>9442.4</v>
      </c>
      <c r="F139" s="5">
        <v>114747.00000000001</v>
      </c>
      <c r="G139" s="5"/>
      <c r="H139" s="5"/>
      <c r="I139" s="5"/>
      <c r="J139" s="5"/>
    </row>
    <row r="140" spans="2:10" x14ac:dyDescent="0.2">
      <c r="B140" s="12" t="s">
        <v>989</v>
      </c>
      <c r="C140" s="5">
        <v>998953.6</v>
      </c>
      <c r="D140" s="5">
        <v>7516.2</v>
      </c>
      <c r="E140" s="5">
        <v>479052</v>
      </c>
      <c r="F140" s="5">
        <v>373045.80000000005</v>
      </c>
      <c r="G140" s="5">
        <v>7211.4</v>
      </c>
      <c r="H140" s="5">
        <v>32994.800000000003</v>
      </c>
      <c r="I140" s="5"/>
      <c r="J140" s="5"/>
    </row>
    <row r="141" spans="2:10" x14ac:dyDescent="0.2">
      <c r="B141" s="12" t="s">
        <v>990</v>
      </c>
      <c r="C141" s="5">
        <v>570102.00000000012</v>
      </c>
      <c r="D141" s="5">
        <v>93218.599999999991</v>
      </c>
      <c r="E141" s="5">
        <v>266332.79999999999</v>
      </c>
      <c r="F141" s="5">
        <v>836557.79999999993</v>
      </c>
      <c r="G141" s="5"/>
      <c r="H141" s="5"/>
      <c r="I141" s="5">
        <v>47752</v>
      </c>
      <c r="J141" s="5">
        <v>16261</v>
      </c>
    </row>
    <row r="142" spans="2:10" x14ac:dyDescent="0.2">
      <c r="B142" s="12" t="s">
        <v>991</v>
      </c>
      <c r="C142" s="5">
        <v>300440.40000000002</v>
      </c>
      <c r="D142" s="5">
        <v>11753.8</v>
      </c>
      <c r="E142" s="5">
        <v>72287</v>
      </c>
      <c r="F142" s="5">
        <v>144813.59999999998</v>
      </c>
      <c r="G142" s="5"/>
      <c r="H142" s="5"/>
      <c r="I142" s="5">
        <v>20660.199999999997</v>
      </c>
      <c r="J142" s="5"/>
    </row>
    <row r="143" spans="2:10" x14ac:dyDescent="0.2">
      <c r="B143" s="12" t="s">
        <v>992</v>
      </c>
      <c r="C143" s="5">
        <v>124731.2</v>
      </c>
      <c r="D143" s="5">
        <v>11462.8</v>
      </c>
      <c r="E143" s="5">
        <v>25220</v>
      </c>
      <c r="F143" s="5">
        <v>55700</v>
      </c>
      <c r="G143" s="5"/>
      <c r="H143" s="5"/>
      <c r="I143" s="5"/>
      <c r="J143" s="5"/>
    </row>
    <row r="188" spans="10:14" x14ac:dyDescent="0.2">
      <c r="J188" s="12" t="s">
        <v>1171</v>
      </c>
    </row>
    <row r="190" spans="10:14" x14ac:dyDescent="0.2">
      <c r="J190" s="11" t="s">
        <v>1083</v>
      </c>
      <c r="K190" t="s">
        <v>1172</v>
      </c>
      <c r="L190" t="s">
        <v>1155</v>
      </c>
      <c r="M190" t="s">
        <v>1164</v>
      </c>
      <c r="N190" t="s">
        <v>1163</v>
      </c>
    </row>
    <row r="191" spans="10:14" x14ac:dyDescent="0.2">
      <c r="J191" s="12" t="s">
        <v>295</v>
      </c>
      <c r="K191" s="5">
        <v>570535.15876448702</v>
      </c>
      <c r="L191" s="18">
        <v>0.45908255964859729</v>
      </c>
      <c r="M191" s="5">
        <v>2737.5261779336747</v>
      </c>
      <c r="N191" s="5">
        <v>1529.1668421068805</v>
      </c>
    </row>
    <row r="192" spans="10:14" x14ac:dyDescent="0.2">
      <c r="J192" s="12" t="s">
        <v>296</v>
      </c>
      <c r="K192" s="5">
        <v>169615.8324553885</v>
      </c>
      <c r="L192" s="18">
        <v>0.37709609049231696</v>
      </c>
      <c r="M192" s="5">
        <v>2743.1384731814528</v>
      </c>
      <c r="N192" s="5">
        <v>808.44193234578131</v>
      </c>
    </row>
    <row r="193" spans="10:14" x14ac:dyDescent="0.2">
      <c r="J193" s="12" t="s">
        <v>297</v>
      </c>
      <c r="K193" s="5">
        <v>751376.90878012439</v>
      </c>
      <c r="L193" s="18">
        <v>0.65482419843530959</v>
      </c>
      <c r="M193" s="5">
        <v>2454.9350631999691</v>
      </c>
      <c r="N193" s="5">
        <v>1884.6357872292319</v>
      </c>
    </row>
  </sheetData>
  <sortState xmlns:xlrd2="http://schemas.microsoft.com/office/spreadsheetml/2017/richdata2" ref="D21:E38">
    <sortCondition ref="D22"/>
  </sortState>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B4959-2BCB-1744-9E75-32709231796B}">
  <sheetPr>
    <pageSetUpPr fitToPage="1"/>
  </sheetPr>
  <dimension ref="A1:AD63"/>
  <sheetViews>
    <sheetView showGridLines="0" showRowColHeaders="0" tabSelected="1" view="pageLayout" zoomScale="61" zoomScaleNormal="78" zoomScalePageLayoutView="61" workbookViewId="0">
      <selection activeCell="AA7" sqref="AA7"/>
    </sheetView>
  </sheetViews>
  <sheetFormatPr baseColWidth="10" defaultRowHeight="16" x14ac:dyDescent="0.2"/>
  <sheetData>
    <row r="1" spans="1:30" x14ac:dyDescent="0.2">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row>
    <row r="2" spans="1:30" x14ac:dyDescent="0.2">
      <c r="A2" s="32"/>
      <c r="B2" s="32"/>
      <c r="C2" s="33" t="s">
        <v>1174</v>
      </c>
      <c r="D2" s="33"/>
      <c r="E2" s="33"/>
      <c r="F2" s="33"/>
      <c r="G2" s="33"/>
      <c r="H2" s="33"/>
      <c r="I2" s="33"/>
      <c r="J2" s="33"/>
      <c r="K2" s="33"/>
      <c r="L2" s="33"/>
      <c r="M2" s="33"/>
      <c r="N2" s="33"/>
      <c r="O2" s="33"/>
      <c r="P2" s="33"/>
      <c r="Q2" s="33"/>
      <c r="R2" s="33"/>
      <c r="S2" s="33"/>
      <c r="T2" s="33"/>
      <c r="U2" s="33"/>
      <c r="V2" s="33"/>
      <c r="W2" s="33"/>
      <c r="X2" s="33"/>
      <c r="Y2" s="32"/>
      <c r="Z2" s="32"/>
      <c r="AA2" s="32"/>
      <c r="AB2" s="32"/>
      <c r="AC2" s="32"/>
      <c r="AD2" s="32"/>
    </row>
    <row r="3" spans="1:30" x14ac:dyDescent="0.2">
      <c r="A3" s="32" t="s">
        <v>1175</v>
      </c>
      <c r="B3" s="32"/>
      <c r="C3" s="33"/>
      <c r="D3" s="33"/>
      <c r="E3" s="33"/>
      <c r="F3" s="33"/>
      <c r="G3" s="33"/>
      <c r="H3" s="33"/>
      <c r="I3" s="33"/>
      <c r="J3" s="33"/>
      <c r="K3" s="33"/>
      <c r="L3" s="33"/>
      <c r="M3" s="33"/>
      <c r="N3" s="33"/>
      <c r="O3" s="33"/>
      <c r="P3" s="33"/>
      <c r="Q3" s="33"/>
      <c r="R3" s="33"/>
      <c r="S3" s="33"/>
      <c r="T3" s="33"/>
      <c r="U3" s="33"/>
      <c r="V3" s="33"/>
      <c r="W3" s="33"/>
      <c r="X3" s="33"/>
      <c r="Y3" s="32"/>
      <c r="Z3" s="32"/>
      <c r="AA3" s="32"/>
      <c r="AB3" s="32"/>
      <c r="AC3" s="32"/>
      <c r="AD3" s="32"/>
    </row>
    <row r="4" spans="1:30" x14ac:dyDescent="0.2">
      <c r="A4" s="32"/>
      <c r="B4" s="32"/>
      <c r="C4" s="33"/>
      <c r="D4" s="33"/>
      <c r="E4" s="33"/>
      <c r="F4" s="33"/>
      <c r="G4" s="33"/>
      <c r="H4" s="33"/>
      <c r="I4" s="33"/>
      <c r="J4" s="33"/>
      <c r="K4" s="33"/>
      <c r="L4" s="33"/>
      <c r="M4" s="33"/>
      <c r="N4" s="33"/>
      <c r="O4" s="33"/>
      <c r="P4" s="33"/>
      <c r="Q4" s="33"/>
      <c r="R4" s="33"/>
      <c r="S4" s="33"/>
      <c r="T4" s="33"/>
      <c r="U4" s="33"/>
      <c r="V4" s="33"/>
      <c r="W4" s="33"/>
      <c r="X4" s="33"/>
      <c r="Y4" s="32"/>
      <c r="Z4" s="32"/>
      <c r="AA4" s="32"/>
      <c r="AB4" s="32"/>
      <c r="AC4" s="32"/>
      <c r="AD4" s="32"/>
    </row>
    <row r="5" spans="1:30" x14ac:dyDescent="0.2">
      <c r="A5" s="32"/>
      <c r="B5" s="32"/>
      <c r="C5" s="33"/>
      <c r="D5" s="33"/>
      <c r="E5" s="33"/>
      <c r="F5" s="33"/>
      <c r="G5" s="33"/>
      <c r="H5" s="33"/>
      <c r="I5" s="33"/>
      <c r="J5" s="33"/>
      <c r="K5" s="33"/>
      <c r="L5" s="33"/>
      <c r="M5" s="33"/>
      <c r="N5" s="33"/>
      <c r="O5" s="33"/>
      <c r="P5" s="33"/>
      <c r="Q5" s="33"/>
      <c r="R5" s="33"/>
      <c r="S5" s="33"/>
      <c r="T5" s="33"/>
      <c r="U5" s="33"/>
      <c r="V5" s="33"/>
      <c r="W5" s="33"/>
      <c r="X5" s="33"/>
      <c r="Y5" s="32"/>
      <c r="Z5" s="32"/>
      <c r="AA5" s="32"/>
      <c r="AB5" s="32"/>
      <c r="AC5" s="32"/>
      <c r="AD5" s="32"/>
    </row>
    <row r="6" spans="1:30" x14ac:dyDescent="0.2">
      <c r="A6" s="32"/>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row>
    <row r="7" spans="1:30" x14ac:dyDescent="0.2">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row>
    <row r="8" spans="1:30" x14ac:dyDescent="0.2">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row>
    <row r="9" spans="1:30" x14ac:dyDescent="0.2">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row>
    <row r="10" spans="1:30" x14ac:dyDescent="0.2">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row>
    <row r="11" spans="1:30" x14ac:dyDescent="0.2">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row>
    <row r="12" spans="1:30" x14ac:dyDescent="0.2">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row>
    <row r="13" spans="1:30" x14ac:dyDescent="0.2">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row>
    <row r="14" spans="1:30" x14ac:dyDescent="0.2">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row>
    <row r="15" spans="1:30" x14ac:dyDescent="0.2">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row>
    <row r="16" spans="1:30" x14ac:dyDescent="0.2">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row>
    <row r="17" spans="1:30" x14ac:dyDescent="0.2">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row>
    <row r="18" spans="1:30" x14ac:dyDescent="0.2">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row>
    <row r="19" spans="1:30" x14ac:dyDescent="0.2">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row>
    <row r="20" spans="1:30" x14ac:dyDescent="0.2">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row>
    <row r="21" spans="1:30" x14ac:dyDescent="0.2">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row>
    <row r="22" spans="1:30" x14ac:dyDescent="0.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row>
    <row r="23" spans="1:30" x14ac:dyDescent="0.2">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row>
    <row r="24" spans="1:30" x14ac:dyDescent="0.2">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row>
    <row r="25" spans="1:30" x14ac:dyDescent="0.2">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row>
    <row r="26" spans="1:30" x14ac:dyDescent="0.2">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row>
    <row r="27" spans="1:30" x14ac:dyDescent="0.2">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row>
    <row r="28" spans="1:30" x14ac:dyDescent="0.2">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row>
    <row r="29" spans="1:30" x14ac:dyDescent="0.2">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row>
    <row r="30" spans="1:30" x14ac:dyDescent="0.2">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row>
    <row r="31" spans="1:30" x14ac:dyDescent="0.2">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row>
    <row r="32" spans="1:30" x14ac:dyDescent="0.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row>
    <row r="33" spans="1:30" x14ac:dyDescent="0.2">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row>
    <row r="34" spans="1:30" x14ac:dyDescent="0.2">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row>
    <row r="35" spans="1:30" x14ac:dyDescent="0.2">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row>
    <row r="36" spans="1:30" x14ac:dyDescent="0.2">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row>
    <row r="37" spans="1:30" x14ac:dyDescent="0.2">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row>
    <row r="38" spans="1:30" x14ac:dyDescent="0.2">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row>
    <row r="39" spans="1:30" x14ac:dyDescent="0.2">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row>
    <row r="40" spans="1:30" x14ac:dyDescent="0.2">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row>
    <row r="41" spans="1:30" x14ac:dyDescent="0.2">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row>
    <row r="42" spans="1:30" x14ac:dyDescent="0.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row>
    <row r="43" spans="1:30" x14ac:dyDescent="0.2">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row>
    <row r="44" spans="1:30" x14ac:dyDescent="0.2">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row>
    <row r="45" spans="1:30" x14ac:dyDescent="0.2">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row>
    <row r="46" spans="1:30" x14ac:dyDescent="0.2">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row>
    <row r="47" spans="1:30" x14ac:dyDescent="0.2">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row>
    <row r="48" spans="1:30" x14ac:dyDescent="0.2">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row>
    <row r="49" spans="1:30" x14ac:dyDescent="0.2">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row>
    <row r="50" spans="1:30" x14ac:dyDescent="0.2">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row>
    <row r="51" spans="1:30" x14ac:dyDescent="0.2">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row>
    <row r="52" spans="1:30" x14ac:dyDescent="0.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row>
    <row r="53" spans="1:30" x14ac:dyDescent="0.2">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row>
    <row r="54" spans="1:30" x14ac:dyDescent="0.2">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row>
    <row r="55" spans="1:30" x14ac:dyDescent="0.2">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row>
    <row r="56" spans="1:30" x14ac:dyDescent="0.2">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row>
    <row r="57" spans="1:30" x14ac:dyDescent="0.2">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row>
    <row r="58" spans="1:30" x14ac:dyDescent="0.2">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row>
    <row r="59" spans="1:30" x14ac:dyDescent="0.2">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row>
    <row r="60" spans="1:30" x14ac:dyDescent="0.2">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row>
    <row r="61" spans="1:30" x14ac:dyDescent="0.2">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row>
    <row r="62" spans="1:30" x14ac:dyDescent="0.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row>
    <row r="63" spans="1:30" x14ac:dyDescent="0.2">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row>
  </sheetData>
  <mergeCells count="1">
    <mergeCell ref="C2:X5"/>
  </mergeCells>
  <printOptions horizontalCentered="1"/>
  <pageMargins left="0.7" right="0.7" top="0.75" bottom="0.75" header="0.3" footer="0.3"/>
  <pageSetup paperSize="9" scale="38" orientation="landscape" horizontalDpi="0" verticalDpi="0"/>
  <headerFooter scaleWithDoc="0" alignWithMargins="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INCOME</vt:lpstr>
      <vt:lpstr>EXPENSES</vt:lpstr>
      <vt:lpstr>Reference_Nights</vt:lpstr>
      <vt:lpstr>Data_Consolidado</vt:lpstr>
      <vt:lpstr>Analysis - Pivots</vt:lpstr>
      <vt:lpstr>Analysis - Dashboard</vt:lpstr>
      <vt:lpstr>Data_Consolidado</vt:lpstr>
      <vt:lpstr>'Analysis - 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katia vidotto</dc:creator>
  <cp:lastModifiedBy>katiavidotto.va@gmail.com</cp:lastModifiedBy>
  <cp:lastPrinted>2026-06-22T17:27:32Z</cp:lastPrinted>
  <dcterms:created xsi:type="dcterms:W3CDTF">2026-05-18T19:12:06Z</dcterms:created>
  <dcterms:modified xsi:type="dcterms:W3CDTF">2026-06-22T17:32:19Z</dcterms:modified>
</cp:coreProperties>
</file>